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Y:\Gruppen\tech\03_WG Adv Ads Ox\Navid_new\000_Manuscript_modeling adsorption of PMTs by machine learning\"/>
    </mc:Choice>
  </mc:AlternateContent>
  <xr:revisionPtr revIDLastSave="0" documentId="13_ncr:1_{388AD140-7B69-497D-A612-ED134D98D6D8}" xr6:coauthVersionLast="36" xr6:coauthVersionMax="36" xr10:uidLastSave="{00000000-0000-0000-0000-000000000000}"/>
  <bookViews>
    <workbookView xWindow="-108" yWindow="-108" windowWidth="19416" windowHeight="10608" activeTab="1" xr2:uid="{00000000-000D-0000-FFFF-FFFF00000000}"/>
  </bookViews>
  <sheets>
    <sheet name="Table 1ES_Molecular Properties" sheetId="7" r:id="rId1"/>
    <sheet name="Table 2ES_Kd training and test " sheetId="9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11" i="9" l="1"/>
  <c r="D512" i="9" l="1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bfrage - Tab_4_Cluster_Labels_Sorption" description="Verbindung mit der Abfrage 'Tab_4_Cluster_Labels_Sorption' in der Arbeitsmappe." type="5" refreshedVersion="0" background="1">
    <dbPr connection="Provider=Microsoft.Mashup.OleDb.1;Data Source=$Workbook$;Location=Tab_4_Cluster_Labels_Sorption;Extended Properties=&quot;&quot;" command="SELECT * FROM [Tab_4_Cluster_Labels_Sorption]"/>
  </connection>
  <connection id="2" xr16:uid="{00000000-0015-0000-FFFF-FFFF01000000}" keepAlive="1" name="Abfrage - Tab_6_Distance_Correlation" description="Verbindung mit der Abfrage 'Tab_6_Distance_Correlation' in der Arbeitsmappe." type="5" refreshedVersion="0" background="1">
    <dbPr connection="Provider=Microsoft.Mashup.OleDb.1;Data Source=$Workbook$;Location=Tab_6_Distance_Correlation;Extended Properties=&quot;&quot;" command="SELECT * FROM [Tab_6_Distance_Correlation]"/>
  </connection>
</connections>
</file>

<file path=xl/sharedStrings.xml><?xml version="1.0" encoding="utf-8"?>
<sst xmlns="http://schemas.openxmlformats.org/spreadsheetml/2006/main" count="649" uniqueCount="197">
  <si>
    <t>Compound</t>
  </si>
  <si>
    <t>PFBA</t>
  </si>
  <si>
    <t>PFBS</t>
  </si>
  <si>
    <t>1,3-Diphenylguanidine (1,3-DPG)</t>
  </si>
  <si>
    <t>1H-Benzotriazole (1H-BTZ)</t>
  </si>
  <si>
    <t>4-Hydroxyquinoline (4-HQ)</t>
  </si>
  <si>
    <t>Acesulfame (Ace)</t>
  </si>
  <si>
    <t>Ciprofloxacin (CPFX)</t>
  </si>
  <si>
    <t>Cyclohexylamine (CHA)</t>
  </si>
  <si>
    <t>Diethylphthalate (DEP)</t>
  </si>
  <si>
    <t>Gabapentin (GPN)</t>
  </si>
  <si>
    <t>Guanylurea (GUA)</t>
  </si>
  <si>
    <t>Mecoprop (MCPP)</t>
  </si>
  <si>
    <t>Sulfamethoxazole (SMX)</t>
  </si>
  <si>
    <t>Triethylphosphate (TEP)</t>
  </si>
  <si>
    <t>2-Benzothiazolesulfonic acid (2-BTSA)</t>
  </si>
  <si>
    <t>2-Naphthalenesulfonic acid (2-NSA)</t>
  </si>
  <si>
    <t>7-(Ethylamino)-4-methylcoumarin (7EM)</t>
  </si>
  <si>
    <t>Carbendazim (CBZ)</t>
  </si>
  <si>
    <t>Tramadol (Tram)</t>
  </si>
  <si>
    <t>Pipamperone (Pipa)</t>
  </si>
  <si>
    <t>Tetraethylammonium (TEA)</t>
  </si>
  <si>
    <t>1*</t>
  </si>
  <si>
    <t>4-Nitrophenol (4-NP) *</t>
  </si>
  <si>
    <r>
      <t xml:space="preserve">molecular weight </t>
    </r>
    <r>
      <rPr>
        <vertAlign val="superscript"/>
        <sz val="11"/>
        <rFont val="Calibri"/>
        <family val="2"/>
      </rPr>
      <t>b</t>
    </r>
    <r>
      <rPr>
        <b/>
        <sz val="11"/>
        <rFont val="Calibri"/>
        <family val="2"/>
      </rPr>
      <t xml:space="preserve"> </t>
    </r>
    <r>
      <rPr>
        <sz val="11"/>
        <rFont val="Calibri"/>
        <family val="2"/>
      </rPr>
      <t>(g/mol)</t>
    </r>
  </si>
  <si>
    <r>
      <t xml:space="preserve">molecular volume </t>
    </r>
    <r>
      <rPr>
        <vertAlign val="superscript"/>
        <sz val="11"/>
        <color theme="1"/>
        <rFont val="Calibri"/>
        <family val="2"/>
        <scheme val="minor"/>
      </rPr>
      <t xml:space="preserve">c </t>
    </r>
    <r>
      <rPr>
        <sz val="11"/>
        <color theme="1"/>
        <rFont val="Calibri"/>
        <family val="2"/>
        <scheme val="minor"/>
      </rPr>
      <t>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/mol/100)</t>
    </r>
    <r>
      <rPr>
        <b/>
        <sz val="11"/>
        <color theme="1"/>
        <rFont val="Calibri"/>
        <family val="2"/>
        <scheme val="minor"/>
      </rPr>
      <t xml:space="preserve">  </t>
    </r>
  </si>
  <si>
    <t>number of aromatic rings</t>
  </si>
  <si>
    <r>
      <t xml:space="preserve">positive charges </t>
    </r>
    <r>
      <rPr>
        <vertAlign val="superscript"/>
        <sz val="11"/>
        <rFont val="Calibri"/>
        <family val="2"/>
      </rPr>
      <t>a</t>
    </r>
  </si>
  <si>
    <r>
      <t xml:space="preserve">negative charges </t>
    </r>
    <r>
      <rPr>
        <vertAlign val="superscript"/>
        <sz val="11"/>
        <rFont val="Calibri"/>
        <family val="2"/>
      </rPr>
      <t>a</t>
    </r>
  </si>
  <si>
    <t>PFPeA</t>
  </si>
  <si>
    <t>PFHxA</t>
  </si>
  <si>
    <t>PFHpA</t>
  </si>
  <si>
    <t>PFPrS</t>
  </si>
  <si>
    <t>PFPeS</t>
  </si>
  <si>
    <t>PFHxS</t>
  </si>
  <si>
    <t>GenX</t>
  </si>
  <si>
    <t>Triefluoroacetic acid (TFA)</t>
  </si>
  <si>
    <t>Trifluoromethanesulfonic acid (TFMS)</t>
  </si>
  <si>
    <t>Octafluoroadipic acid (AFBA)</t>
  </si>
  <si>
    <t>Azithromycin</t>
  </si>
  <si>
    <t>Erythromycin</t>
  </si>
  <si>
    <t>Ofloxacine</t>
  </si>
  <si>
    <t>Trimethoprim</t>
  </si>
  <si>
    <t>Carbamazepine</t>
  </si>
  <si>
    <t>Venlafaxine</t>
  </si>
  <si>
    <t>o-desmehtylvenlafaxine</t>
  </si>
  <si>
    <t>Bezafibrate</t>
  </si>
  <si>
    <t>Gemfibrozil</t>
  </si>
  <si>
    <t>Diclofenac</t>
  </si>
  <si>
    <t>Ketoprofen</t>
  </si>
  <si>
    <t>Metoprolol</t>
  </si>
  <si>
    <t>Metoprolol Acid</t>
  </si>
  <si>
    <t>Furosemide</t>
  </si>
  <si>
    <t>Iopromide</t>
  </si>
  <si>
    <t>Salbutamol</t>
  </si>
  <si>
    <r>
      <t>0</t>
    </r>
    <r>
      <rPr>
        <vertAlign val="superscript"/>
        <sz val="11"/>
        <color theme="1"/>
        <rFont val="Calibri"/>
        <family val="2"/>
        <scheme val="minor"/>
      </rPr>
      <t>&amp;</t>
    </r>
  </si>
  <si>
    <r>
      <t>1</t>
    </r>
    <r>
      <rPr>
        <vertAlign val="superscript"/>
        <sz val="11"/>
        <color theme="1"/>
        <rFont val="Calibri"/>
        <family val="2"/>
        <scheme val="minor"/>
      </rPr>
      <t>&amp;&amp;</t>
    </r>
  </si>
  <si>
    <t>Oxypurinol</t>
  </si>
  <si>
    <t>N-(3-(Dimethylamino)propyl)methacrylamide</t>
  </si>
  <si>
    <t>Primidone</t>
  </si>
  <si>
    <t>Melamine</t>
  </si>
  <si>
    <t>Dimethylbenzenesulfonic acid</t>
  </si>
  <si>
    <t>Saccharine</t>
  </si>
  <si>
    <t>Dicyclohexyl sulfosuccinate</t>
  </si>
  <si>
    <t>Adamantan-1-amine</t>
  </si>
  <si>
    <t>p-Toluenesulfonic acid</t>
  </si>
  <si>
    <t>Valsartan acid (2′ -(2H-tetrazol-5-yl)-[1,1′ -biphenyl]-4-carboxylic acid)</t>
  </si>
  <si>
    <t>2-Acrylamido-2-methyl-1-propane sulfonic acid</t>
  </si>
  <si>
    <t>Diatrizoic acid</t>
  </si>
  <si>
    <t>Ditolylguanidine (DIOTOG)</t>
  </si>
  <si>
    <t>Formylaminoantipyrine</t>
  </si>
  <si>
    <t>4-Hydroxy-1-(2-hydroxyethyl)-2,2,6,6,-tetramethylpiperidine</t>
  </si>
  <si>
    <r>
      <t>1</t>
    </r>
    <r>
      <rPr>
        <vertAlign val="superscript"/>
        <sz val="11"/>
        <color theme="1"/>
        <rFont val="Calibri"/>
        <family val="2"/>
        <scheme val="minor"/>
      </rPr>
      <t>&amp;&amp;&amp;</t>
    </r>
  </si>
  <si>
    <t>Naproxen</t>
  </si>
  <si>
    <t>acetaminophen</t>
  </si>
  <si>
    <t>Acebutolol</t>
  </si>
  <si>
    <t>Atenolol</t>
  </si>
  <si>
    <t>compound</t>
  </si>
  <si>
    <t>Kd (L/kg)</t>
  </si>
  <si>
    <t>log D (L/kg)</t>
  </si>
  <si>
    <t>molecular weight (g/mol)</t>
  </si>
  <si>
    <t xml:space="preserve">positive charges </t>
  </si>
  <si>
    <t xml:space="preserve">negative charges </t>
  </si>
  <si>
    <t>Log S (mol/L) at pH 7</t>
  </si>
  <si>
    <t xml:space="preserve">molecular volume  (cm3/mol/100)  </t>
  </si>
  <si>
    <t>estimated log KOC  (L/kg)</t>
  </si>
  <si>
    <t>surface area (m2/g)</t>
  </si>
  <si>
    <t>PZC</t>
  </si>
  <si>
    <t>O wt%</t>
  </si>
  <si>
    <t xml:space="preserve">Trifluoromethanesulfonic acid </t>
  </si>
  <si>
    <t xml:space="preserve">PFBS </t>
  </si>
  <si>
    <t>Trifluoromethanesulfonic acid</t>
  </si>
  <si>
    <t>AFBA</t>
  </si>
  <si>
    <t>Sulfamethoxazole</t>
  </si>
  <si>
    <t>Ciprofloxacin</t>
  </si>
  <si>
    <t>Ditolylguanidine</t>
  </si>
  <si>
    <t>Benzotriazole</t>
  </si>
  <si>
    <t>Benzyltrimethylammonium</t>
  </si>
  <si>
    <t>Acesulfame</t>
  </si>
  <si>
    <t>Gabapentin</t>
  </si>
  <si>
    <t>1,3-Diphenylguanidine</t>
  </si>
  <si>
    <t>1H-Benzotriazole</t>
  </si>
  <si>
    <t>2-Benzothiazolesulfonic acid</t>
  </si>
  <si>
    <t>2-Naphthalenesulfonic acid</t>
  </si>
  <si>
    <t>4-Hydroxyquinoline</t>
  </si>
  <si>
    <t>4-Nitrophenol</t>
  </si>
  <si>
    <t>7-(Ethylamino)-4-methylcoumarin</t>
  </si>
  <si>
    <t>Carbendazim</t>
  </si>
  <si>
    <t>Cyclohexylamine</t>
  </si>
  <si>
    <t>Diethylphthalate</t>
  </si>
  <si>
    <t>Guanylurea</t>
  </si>
  <si>
    <t>Mecoprop</t>
  </si>
  <si>
    <t>Pipamperone</t>
  </si>
  <si>
    <t>Tetraethylammonium</t>
  </si>
  <si>
    <t>Tramadol</t>
  </si>
  <si>
    <t>Triethylphosphate</t>
  </si>
  <si>
    <t xml:space="preserve">Diclofenac </t>
  </si>
  <si>
    <t xml:space="preserve">carbamazepine </t>
  </si>
  <si>
    <t>Benzyldimethylamine</t>
  </si>
  <si>
    <t>FBSA</t>
  </si>
  <si>
    <t>Ibuprofen</t>
  </si>
  <si>
    <t xml:space="preserve">Methyl paraben </t>
  </si>
  <si>
    <t>log Kd</t>
  </si>
  <si>
    <t>TFMS</t>
  </si>
  <si>
    <t>benzyltrimethylammonium</t>
  </si>
  <si>
    <t>cyanoguanidine</t>
  </si>
  <si>
    <t>2-methylprop-2-ene-1-sulfonic acid</t>
  </si>
  <si>
    <t>acesulfame</t>
  </si>
  <si>
    <t>diclofenac</t>
  </si>
  <si>
    <t>diatrizoic acid</t>
  </si>
  <si>
    <t>primidone</t>
  </si>
  <si>
    <t>saccharin</t>
  </si>
  <si>
    <t>sulfamethoxazole</t>
  </si>
  <si>
    <t>valsartan acid</t>
  </si>
  <si>
    <t>Compound Properties</t>
  </si>
  <si>
    <t>reference</t>
  </si>
  <si>
    <t>valsartan</t>
  </si>
  <si>
    <t>cyclohexylamine</t>
  </si>
  <si>
    <t>1H-benzotriazole</t>
  </si>
  <si>
    <t>guanylurea</t>
  </si>
  <si>
    <t>1,3 diphenylguanidine</t>
  </si>
  <si>
    <t>gabapentin</t>
  </si>
  <si>
    <t>carbendazim</t>
  </si>
  <si>
    <t>carbamazepine</t>
  </si>
  <si>
    <t>this work</t>
  </si>
  <si>
    <r>
      <t>estimated K</t>
    </r>
    <r>
      <rPr>
        <b/>
        <vertAlign val="subscript"/>
        <sz val="11"/>
        <rFont val="Calibri"/>
        <family val="2"/>
      </rPr>
      <t>OC</t>
    </r>
    <r>
      <rPr>
        <b/>
        <sz val="11"/>
        <rFont val="Calibri"/>
        <family val="2"/>
      </rPr>
      <t xml:space="preserve"> </t>
    </r>
    <r>
      <rPr>
        <b/>
        <vertAlign val="superscript"/>
        <sz val="11"/>
        <rFont val="Calibri"/>
        <family val="2"/>
      </rPr>
      <t>b, #</t>
    </r>
    <r>
      <rPr>
        <b/>
        <sz val="11"/>
        <rFont val="Calibri"/>
        <family val="2"/>
      </rPr>
      <t xml:space="preserve"> (L/kg)</t>
    </r>
  </si>
  <si>
    <r>
      <t xml:space="preserve">instric water solubility </t>
    </r>
    <r>
      <rPr>
        <vertAlign val="superscript"/>
        <sz val="11"/>
        <rFont val="Calibri"/>
        <family val="2"/>
      </rPr>
      <t>a1</t>
    </r>
    <r>
      <rPr>
        <b/>
        <vertAlign val="superscript"/>
        <sz val="11"/>
        <rFont val="Calibri"/>
        <family val="2"/>
      </rPr>
      <t xml:space="preserve"> </t>
    </r>
    <r>
      <rPr>
        <sz val="11"/>
        <rFont val="Calibri"/>
        <family val="2"/>
      </rPr>
      <t>(mol/L)  at pH 7</t>
    </r>
    <r>
      <rPr>
        <b/>
        <sz val="11"/>
        <rFont val="Calibri"/>
        <family val="2"/>
      </rPr>
      <t xml:space="preserve"> (Log S)</t>
    </r>
  </si>
  <si>
    <r>
      <t>log</t>
    </r>
    <r>
      <rPr>
        <b/>
        <i/>
        <sz val="11"/>
        <rFont val="Calibri"/>
        <family val="2"/>
      </rPr>
      <t xml:space="preserve"> </t>
    </r>
    <r>
      <rPr>
        <b/>
        <sz val="11"/>
        <rFont val="Calibri"/>
        <family val="2"/>
      </rPr>
      <t>D</t>
    </r>
    <r>
      <rPr>
        <b/>
        <vertAlign val="subscript"/>
        <sz val="11"/>
        <rFont val="Calibri"/>
        <family val="2"/>
      </rPr>
      <t>OW</t>
    </r>
    <r>
      <rPr>
        <vertAlign val="superscript"/>
        <sz val="11"/>
        <rFont val="Calibri"/>
        <family val="2"/>
      </rPr>
      <t>a</t>
    </r>
  </si>
  <si>
    <t>Azithromycin (AZI)</t>
  </si>
  <si>
    <t>Erythromycin (ERY)</t>
  </si>
  <si>
    <t>Ofloxacine (OFLO)</t>
  </si>
  <si>
    <t>Trimethoprim (TRIM)</t>
  </si>
  <si>
    <t>Carbamazepine (CARBA)</t>
  </si>
  <si>
    <t>o-desmehtylvenlafaxine (O-DES)</t>
  </si>
  <si>
    <t>Bezafibrate (BEZA)</t>
  </si>
  <si>
    <t>Gemfibrozil (GEMF)</t>
  </si>
  <si>
    <t>Diclofenac (DICL)</t>
  </si>
  <si>
    <t>Ketoprofen (KEP)</t>
  </si>
  <si>
    <t>Metoprolol (MET)</t>
  </si>
  <si>
    <t>Metoprolol Acid (META)</t>
  </si>
  <si>
    <t>Furosemide (FURO)</t>
  </si>
  <si>
    <t>Iopromide (LOPR)</t>
  </si>
  <si>
    <t>Salbutamol (SAL)</t>
  </si>
  <si>
    <t>Oxypurinol (OXY)</t>
  </si>
  <si>
    <t>N-(3-(Dimethylamino)propyl)methacrylamide (N-DIM)</t>
  </si>
  <si>
    <t>Primidone (PRI)</t>
  </si>
  <si>
    <t>Melamine MEL)</t>
  </si>
  <si>
    <t>Dimethylbenzenesulfonic acid (DIMSA)</t>
  </si>
  <si>
    <t>Saccharine (SACC)</t>
  </si>
  <si>
    <t>Dicyclohexyl sulfosuccinate (DICSS)</t>
  </si>
  <si>
    <t>Adamantan-1-amine (ADAA)</t>
  </si>
  <si>
    <t>p-Toluenesulfonic acid (p-TOL)</t>
  </si>
  <si>
    <t>2-Acrylamido-2-methyl-1-propane sulfonic acid (AMPSA)</t>
  </si>
  <si>
    <t>Formylaminoantipyrine (FOAP)</t>
  </si>
  <si>
    <t>Naproxen (NAPX)</t>
  </si>
  <si>
    <t>acetaminophen (ACET)</t>
  </si>
  <si>
    <t>Acebutolol (ACEB)</t>
  </si>
  <si>
    <t>Atenolol (ATEN)</t>
  </si>
  <si>
    <t>Benzyldimethylamine (BENZA)</t>
  </si>
  <si>
    <t>Sodium 2-acrylamido-2-methylpropane sulfonate (SAMEPS)</t>
  </si>
  <si>
    <t>2-Methyl-2-propene-1-sulfonate (MEPRS)</t>
  </si>
  <si>
    <t>Diatrizoic acid (DIAA)</t>
  </si>
  <si>
    <t>Cyanoguanidine (CYAG)</t>
  </si>
  <si>
    <t>4-Hydroxy-1-(2-hydroxyethyl)-2,2,6,6,-tetramethylpiperidine (4-HHTP)</t>
  </si>
  <si>
    <t>Valsartan acid (VALSA)</t>
  </si>
  <si>
    <t>Ibuprofen (IBUP)</t>
  </si>
  <si>
    <t>Methyl paraben (METHP)</t>
  </si>
  <si>
    <t>Perfluorobutane sulfonamide (FBSA)</t>
  </si>
  <si>
    <t>Perfluorobutanoic acid (PFBA)</t>
  </si>
  <si>
    <t>Perfluorobutane sulfonic acid (PFBS)</t>
  </si>
  <si>
    <t>Perfluoropentanoic acid (PFPeA)</t>
  </si>
  <si>
    <t>Perfluorohexanoic acid (PFHxA)</t>
  </si>
  <si>
    <t>Perfluoroheptanoic acid (PFHpA)</t>
  </si>
  <si>
    <t>Hexafluoropropylene oxide dimer acid (GenX)</t>
  </si>
  <si>
    <t>Perfluoropropanesulfonic acid (PFPrS)</t>
  </si>
  <si>
    <t>Perfluoropentanesulfonic acid (PFPeS)</t>
  </si>
  <si>
    <t>Perfluorohexanesulfonic acid (PFHxS)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</si>
</sst>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vertAlign val="superscript"/>
      <sz val="11"/>
      <name val="Calibri"/>
      <family val="2"/>
    </font>
    <font>
      <vertAlign val="superscript"/>
      <sz val="11"/>
      <name val="Calibri"/>
      <family val="2"/>
    </font>
    <font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b/>
      <i/>
      <sz val="11"/>
      <name val="Calibri"/>
      <family val="2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b/>
      <sz val="11"/>
      <color theme="1"/>
      <name val="Calibri"/>
      <family val="2"/>
    </font>
    <font>
      <b/>
      <vertAlign val="subscript"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5" fillId="0" borderId="1" xfId="1" applyFont="1" applyFill="1" applyBorder="1" applyAlignment="1">
      <alignment horizontal="center"/>
    </xf>
    <xf numFmtId="1" fontId="0" fillId="0" borderId="1" xfId="1" applyNumberFormat="1" applyFont="1" applyFill="1" applyBorder="1" applyAlignment="1">
      <alignment horizontal="center"/>
    </xf>
    <xf numFmtId="1" fontId="5" fillId="0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Fon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Font="1"/>
    <xf numFmtId="0" fontId="0" fillId="0" borderId="1" xfId="0" applyFill="1" applyBorder="1" applyAlignment="1">
      <alignment horizontal="center"/>
    </xf>
    <xf numFmtId="0" fontId="0" fillId="0" borderId="0" xfId="0" applyFont="1" applyAlignment="1">
      <alignment horizont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/>
    <xf numFmtId="0" fontId="0" fillId="0" borderId="1" xfId="0" applyFont="1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165" fontId="5" fillId="0" borderId="1" xfId="0" applyNumberFormat="1" applyFon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" fontId="0" fillId="0" borderId="1" xfId="0" applyNumberFormat="1" applyFon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13" fillId="0" borderId="1" xfId="0" applyFont="1" applyFill="1" applyBorder="1" applyAlignment="1">
      <alignment horizontal="center" vertical="top" wrapText="1"/>
    </xf>
    <xf numFmtId="0" fontId="0" fillId="0" borderId="1" xfId="0" applyFont="1" applyFill="1" applyBorder="1"/>
    <xf numFmtId="164" fontId="0" fillId="0" borderId="1" xfId="0" applyNumberFormat="1" applyFont="1" applyFill="1" applyBorder="1" applyAlignment="1">
      <alignment horizontal="center"/>
    </xf>
    <xf numFmtId="165" fontId="0" fillId="0" borderId="1" xfId="0" applyNumberFormat="1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/>
    </xf>
    <xf numFmtId="0" fontId="11" fillId="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5" fillId="0" borderId="0" xfId="0" applyFont="1" applyFill="1"/>
    <xf numFmtId="11" fontId="0" fillId="0" borderId="0" xfId="0" applyNumberFormat="1" applyFill="1"/>
    <xf numFmtId="2" fontId="0" fillId="0" borderId="0" xfId="0" applyNumberFormat="1" applyFill="1"/>
    <xf numFmtId="164" fontId="0" fillId="0" borderId="0" xfId="0" applyNumberFormat="1" applyFill="1"/>
    <xf numFmtId="165" fontId="0" fillId="0" borderId="0" xfId="0" applyNumberFormat="1" applyFill="1"/>
    <xf numFmtId="0" fontId="0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</cellXfs>
  <cellStyles count="2">
    <cellStyle name="Neutral" xfId="1" builtinId="28"/>
    <cellStyle name="Standard" xfId="0" builtinId="0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3291840</xdr:colOff>
      <xdr:row>83</xdr:row>
      <xdr:rowOff>180975</xdr:rowOff>
    </xdr:from>
    <xdr:to>
      <xdr:col>7</xdr:col>
      <xdr:colOff>929640</xdr:colOff>
      <xdr:row>91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291840" y="16388715"/>
          <a:ext cx="8252460" cy="130492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 </a:t>
          </a:r>
          <a:r>
            <a:rPr lang="en-GB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at pH 7, 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https://www.chemaxon.com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a1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https://www.chemaxon.com,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nonionizable compounds, and intrinct solubility was considered</a:t>
          </a:r>
          <a:endParaRPr lang="en-US" sz="1000">
            <a:effectLst/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b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US EPA. [2024]. Estimation Programs Interface Suite™ for Microsoft® Windows, v 4.1. United States Environmental Protection Agency, Washington, DC, USA</a:t>
          </a:r>
          <a:r>
            <a:rPr lang="en-US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  <a:endParaRPr lang="en-US" sz="10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McGowan molar volume, cm</a:t>
          </a: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mol</a:t>
          </a:r>
          <a:r>
            <a:rPr lang="en-GB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−1</a:t>
          </a:r>
          <a:r>
            <a:rPr lang="en-GB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/100,</a:t>
          </a:r>
          <a:r>
            <a:rPr lang="en-GB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UFZ LSER database: Ulrich N., Endo S., Brown T.N., Watanabe N., Bronner G., Abraham M.H., et al., 2017. UFZ-LSER Database v 3.2 </a:t>
          </a:r>
          <a:r>
            <a:rPr lang="en-US" sz="1000" u="sng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  <a:hlinkClick xmlns:r="http://schemas.openxmlformats.org/officeDocument/2006/relationships" r:id=""/>
            </a:rPr>
            <a:t>http://www.ufz.de/lserd</a:t>
          </a:r>
          <a:r>
            <a:rPr lang="en-US" sz="1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(accessed October 2022).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n-US" sz="10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Estimated by ACD/labs calculator at pH 7.4.</a:t>
          </a:r>
          <a:endParaRPr lang="en-US" sz="10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</xdr:txBody>
    </xdr:sp>
    <xdr:clientData/>
  </xdr:twoCellAnchor>
  <xdr:twoCellAnchor>
    <xdr:from>
      <xdr:col>0</xdr:col>
      <xdr:colOff>3299460</xdr:colOff>
      <xdr:row>79</xdr:row>
      <xdr:rowOff>137160</xdr:rowOff>
    </xdr:from>
    <xdr:to>
      <xdr:col>7</xdr:col>
      <xdr:colOff>937260</xdr:colOff>
      <xdr:row>83</xdr:row>
      <xdr:rowOff>114300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530686B-2FCF-4FC6-AD52-12FE72F77A2B}"/>
            </a:ext>
          </a:extLst>
        </xdr:cNvPr>
        <xdr:cNvSpPr txBox="1"/>
      </xdr:nvSpPr>
      <xdr:spPr>
        <a:xfrm>
          <a:off x="3299460" y="15613380"/>
          <a:ext cx="8252460" cy="708660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*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4-NP has an acidic p</a:t>
          </a:r>
          <a:r>
            <a:rPr lang="en-US" sz="1000" i="1">
              <a:latin typeface="Arial" panose="020B0604020202020204" pitchFamily="34" charset="0"/>
              <a:cs typeface="Arial" panose="020B0604020202020204" pitchFamily="34" charset="0"/>
            </a:rPr>
            <a:t>K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a of 7.1, which implies an average charge of -0.46 at pH 7. In our study, it was considered to have a net charge of -1 at pH 7.</a:t>
          </a:r>
          <a:r>
            <a:rPr lang="en-DE" sz="100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DE" sz="1000" baseline="30000">
              <a:latin typeface="Arial" panose="020B0604020202020204" pitchFamily="34" charset="0"/>
              <a:cs typeface="Arial" panose="020B0604020202020204" pitchFamily="34" charset="0"/>
            </a:rPr>
            <a:t>&amp; </a:t>
          </a:r>
          <a:r>
            <a:rPr lang="en-DE" sz="1000" baseline="0">
              <a:latin typeface="Arial" panose="020B0604020202020204" pitchFamily="34" charset="0"/>
              <a:cs typeface="Arial" panose="020B0604020202020204" pitchFamily="34" charset="0"/>
            </a:rPr>
            <a:t>90.2% neutral, 5.4% anionic, and 4.4% cationic at pH 7, but here considered neutral. </a:t>
          </a:r>
          <a:r>
            <a:rPr lang="en-DE" sz="1000" baseline="30000">
              <a:latin typeface="Arial" panose="020B0604020202020204" pitchFamily="34" charset="0"/>
              <a:cs typeface="Arial" panose="020B0604020202020204" pitchFamily="34" charset="0"/>
            </a:rPr>
            <a:t>&amp;&amp;</a:t>
          </a:r>
          <a:r>
            <a:rPr lang="en-DE" sz="1000" baseline="0">
              <a:latin typeface="Arial" panose="020B0604020202020204" pitchFamily="34" charset="0"/>
              <a:cs typeface="Arial" panose="020B0604020202020204" pitchFamily="34" charset="0"/>
            </a:rPr>
            <a:t> 59% cation and 41% neutral at pH 7, here considered cationic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, </a:t>
          </a:r>
          <a:r>
            <a:rPr lang="en-US" sz="1000" baseline="30000">
              <a:latin typeface="Arial" panose="020B0604020202020204" pitchFamily="34" charset="0"/>
              <a:cs typeface="Arial" panose="020B0604020202020204" pitchFamily="34" charset="0"/>
            </a:rPr>
            <a:t>&amp;&amp;&amp;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 65% anion and 35% neutral, but here is considered anion.</a:t>
          </a:r>
          <a:endParaRPr lang="en-US" sz="1100" baseline="300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3284220</xdr:colOff>
      <xdr:row>91</xdr:row>
      <xdr:rowOff>135255</xdr:rowOff>
    </xdr:from>
    <xdr:to>
      <xdr:col>7</xdr:col>
      <xdr:colOff>922020</xdr:colOff>
      <xdr:row>96</xdr:row>
      <xdr:rowOff>91440</xdr:rowOff>
    </xdr:to>
    <xdr:sp macro="" textlink="">
      <xdr:nvSpPr>
        <xdr:cNvPr id="7" name="TextBox 1">
          <a:extLst>
            <a:ext uri="{FF2B5EF4-FFF2-40B4-BE49-F238E27FC236}">
              <a16:creationId xmlns:a16="http://schemas.microsoft.com/office/drawing/2014/main" id="{A979AF19-B577-430D-8759-82AAD4812BD7}"/>
            </a:ext>
          </a:extLst>
        </xdr:cNvPr>
        <xdr:cNvSpPr txBox="1"/>
      </xdr:nvSpPr>
      <xdr:spPr>
        <a:xfrm>
          <a:off x="3284220" y="17806035"/>
          <a:ext cx="8252460" cy="870585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30000">
              <a:latin typeface="Arial" panose="020B0604020202020204" pitchFamily="34" charset="0"/>
              <a:cs typeface="Arial" panose="020B0604020202020204" pitchFamily="34" charset="0"/>
            </a:rPr>
            <a:t>#</a:t>
          </a:r>
          <a:r>
            <a:rPr lang="en-US" sz="1000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Log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 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values were obtained primarily from EPISuite (KOCWIN) estimates when experimental values were unavailable. Because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for ionizable substances may be pH-dependent, these estimated values were used for screening against the mobility threshold (log K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OC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&lt; 4) as an approximation rather than as a definitive classification across pH 4–9. To account for pH effects on partitioning in the relevant experimental range, log D</a:t>
          </a:r>
          <a:r>
            <a:rPr lang="en-US" sz="1000" baseline="-25000">
              <a:latin typeface="Arial" panose="020B0604020202020204" pitchFamily="34" charset="0"/>
              <a:cs typeface="Arial" panose="020B0604020202020204" pitchFamily="34" charset="0"/>
            </a:rPr>
            <a:t>ow</a:t>
          </a:r>
          <a:r>
            <a:rPr lang="en-US" sz="1000">
              <a:latin typeface="Arial" panose="020B0604020202020204" pitchFamily="34" charset="0"/>
              <a:cs typeface="Arial" panose="020B0604020202020204" pitchFamily="34" charset="0"/>
            </a:rPr>
            <a:t> and aqueous solubility (log S) at pH 7 were additionally included as descriptors, and compound speciation (via pKa and charge state) was explicitly represented.</a:t>
          </a:r>
          <a:endParaRPr lang="en-US" sz="11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434218</xdr:colOff>
      <xdr:row>9</xdr:row>
      <xdr:rowOff>69001</xdr:rowOff>
    </xdr:from>
    <xdr:to>
      <xdr:col>31</xdr:col>
      <xdr:colOff>259320</xdr:colOff>
      <xdr:row>41</xdr:row>
      <xdr:rowOff>129421</xdr:rowOff>
    </xdr:to>
    <xdr:sp macro="" textlink="">
      <xdr:nvSpPr>
        <xdr:cNvPr id="5" name="TextBox 1">
          <a:extLst>
            <a:ext uri="{FF2B5EF4-FFF2-40B4-BE49-F238E27FC236}">
              <a16:creationId xmlns:a16="http://schemas.microsoft.com/office/drawing/2014/main" id="{52732B44-8A1C-401D-8744-2CCDCD63A296}"/>
            </a:ext>
          </a:extLst>
        </xdr:cNvPr>
        <xdr:cNvSpPr txBox="1"/>
      </xdr:nvSpPr>
      <xdr:spPr>
        <a:xfrm>
          <a:off x="17672351" y="1745401"/>
          <a:ext cx="10171369" cy="602095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ysClr val="windowText" lastClr="000000"/>
              </a:solidFill>
            </a:rPr>
            <a:t>reference </a:t>
          </a:r>
        </a:p>
        <a:p>
          <a:r>
            <a:rPr lang="en-US" sz="1100">
              <a:solidFill>
                <a:sysClr val="windowText" lastClr="000000"/>
              </a:solidFill>
            </a:rPr>
            <a:t>1- Sorption affinity and mechanisms of per-and polyfluoroalkyl substances (PFASs) with commercial sorbents: Implications for passive sampling</a:t>
          </a:r>
        </a:p>
        <a:p>
          <a:r>
            <a:rPr lang="en-US" sz="1100">
              <a:solidFill>
                <a:sysClr val="windowText" lastClr="000000"/>
              </a:solidFill>
            </a:rPr>
            <a:t>2- Is adsorption onto activated carbon a feasible drinking water treatment option for persistent and mobile substances?</a:t>
          </a:r>
        </a:p>
        <a:p>
          <a:r>
            <a:rPr lang="en-US" sz="1100">
              <a:solidFill>
                <a:sysClr val="windowText" lastClr="000000"/>
              </a:solidFill>
            </a:rPr>
            <a:t>3- Using circular economy principles in the optimisation of sludge-based activated carbon production for the removal of perfluoroalkyl substances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4- </a:t>
          </a:r>
          <a:r>
            <a:rPr lang="en-US" sz="1100">
              <a:solidFill>
                <a:sysClr val="windowText" lastClr="000000"/>
              </a:solidFill>
            </a:rPr>
            <a:t>Granular activated carbon adsorption of perfluoroalkyl acids from ground and surface water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5- </a:t>
          </a:r>
          <a:r>
            <a:rPr lang="en-US" sz="1100">
              <a:solidFill>
                <a:sysClr val="windowText" lastClr="000000"/>
              </a:solidFill>
            </a:rPr>
            <a:t>Multicomponent PFAS sorption and desorption in common commercial adsorbents: Kinetics, isotherm, adsorbent dose, pH, and index ion and ionic strength effects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6- </a:t>
          </a:r>
          <a:r>
            <a:rPr lang="en-US" sz="1100">
              <a:solidFill>
                <a:sysClr val="windowText" lastClr="000000"/>
              </a:solidFill>
            </a:rPr>
            <a:t>Production of H2 and CNM from biogas decomposition using biosolids-derived biochar and the application of the CNM-coated biochar for PFAS adsorption</a:t>
          </a:r>
        </a:p>
        <a:p>
          <a:r>
            <a:rPr lang="en-US" sz="1100">
              <a:solidFill>
                <a:sysClr val="windowText" lastClr="000000"/>
              </a:solidFill>
            </a:rPr>
            <a:t>7- Efficient adsorptive removal of short-chain perfluoroalkyl acids using reed straw-derived biochar (RESCA)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8- </a:t>
          </a:r>
          <a:r>
            <a:rPr lang="en-US" sz="1100">
              <a:solidFill>
                <a:sysClr val="windowText" lastClr="000000"/>
              </a:solidFill>
            </a:rPr>
            <a:t>Adsorption behavior of per- and polyfluoralkyl substances (PFASs) to 44 inorganic and organic sorbents and use of dyes as proxies for PFAS sorption</a:t>
          </a:r>
          <a:endParaRPr lang="en-DE" sz="1100">
            <a:solidFill>
              <a:sysClr val="windowText" lastClr="000000"/>
            </a:solidFill>
          </a:endParaRPr>
        </a:p>
        <a:p>
          <a:r>
            <a:rPr lang="en-DE" sz="1100">
              <a:solidFill>
                <a:sysClr val="windowText" lastClr="000000"/>
              </a:solidFill>
            </a:rPr>
            <a:t>9- </a:t>
          </a:r>
          <a:r>
            <a:rPr lang="en-US" sz="1100">
              <a:solidFill>
                <a:sysClr val="windowText" lastClr="000000"/>
              </a:solidFill>
            </a:rPr>
            <a:t>Ionic Fluorogels for Remediation of Per- and Polyfluorinated Alkyl Substances from Water</a:t>
          </a:r>
        </a:p>
        <a:p>
          <a:r>
            <a:rPr lang="en-US" sz="1100">
              <a:solidFill>
                <a:sysClr val="windowText" lastClr="000000"/>
              </a:solidFill>
            </a:rPr>
            <a:t>10-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Removal of persistent and mobile organic micropollutants from drinking water utilizing a synthesized waste-derived adsorbent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11</a:t>
          </a:r>
          <a:r>
            <a:rPr lang="en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Towards a better understanding of sorption of persistent and mobile contaminants to activated carbon: Applying data analysis techniques with experimental datasets of limited size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12</a:t>
          </a:r>
          <a:r>
            <a:rPr lang="en-DE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What is specific in adsorption of perfluoroalkyl acids on carbon materials?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13-Sewage sludge biochars as effective PFAS-sorbent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14-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Toward systematic understanding of adsorptive removal of legacy and emerging per-and polyfluoroalkyl substances (PFASs) by various activated carbons (ACs)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15- </a:t>
          </a:r>
          <a:r>
            <a:rPr lang="en-US" sz="1100" b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Factors Affecting the Adsorption of Per- and Polyfluoroalkyl Substances (PFAS) by Colloidal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16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Tailored polyanilines are high-affinity adsorbents for per- and polyfluoroalkyl substances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17- Perfluoroalkyl substances (PFAS) adsorption in drinking water by granular activated carbon: Influence of activated carbon and PFAS characteristics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18- Adsorption dynamics of per- and polyfluoroalkyl substances (PFAS) on activated carbon: Interplay of surface chemistry and PFAS structural properties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>
              <a:solidFill>
                <a:sysClr val="windowText" lastClr="000000"/>
              </a:solidFill>
              <a:effectLst/>
            </a:rPr>
            <a:t>19-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Effects of Physical and Chemical Aging of Colloidal Activated</a:t>
          </a:r>
          <a:r>
            <a:rPr lang="en-DE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Carbon on the Adsorption of Per- and Polyfluoroalkyl Substances</a:t>
          </a:r>
          <a:r>
            <a:rPr lang="en-DE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Adsorption characteristics of selected pharmaceuticals and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an endocrine disrupting compound—Naproxen,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carbamazepine and nonylphenol—on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21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Removal of PFASs from biosolids using a semipilot scale pyrolysis reactor and the application of biosolids derived biochar for the removal of PFASs from contaminated water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22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Kinetic and isotherm study for the adsorption of per- and polyfluoroalkyl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substances (PFAS) on activated carbon in the low ng/L range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23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Impacts of Groundwater Constituents and Colloidal Activated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Carbon (CAC) Surface Chemistry on the Adsorption of Perfluoroalkyl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Acids (PFAA) in Aqueous Film-Forming Foam (AFFF)-Impacted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Groundwater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24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Comparing activated carbons, ion exchange resins and alternative adsorbents for the removal of perfluoroalkyl and other persistent and mobile substances 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25-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Influencing factors on the removal of pharmaceuticals from water with micro-grain activated carbon</a:t>
          </a:r>
          <a:r>
            <a:rPr 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26- Adsorption of pharmaceuticals onto activated carbon fiber cloths -Modeling and extrapolation of adsorption isotherms at very low concentrations</a:t>
          </a:r>
          <a:endParaRPr lang="en-US">
            <a:solidFill>
              <a:sysClr val="windowText" lastClr="000000"/>
            </a:solidFill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27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Mechanistic study of atenolol, acebutolol and carbamazepine adsorption</a:t>
          </a:r>
          <a:r>
            <a:rPr lang="en-DE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on waste biomass derived activated carbon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28. Identifying appropriate low-cost adsorbents from organic waste-derived modified biochars for the removal of pharmaceuticals,</a:t>
          </a:r>
          <a:endParaRPr lang="en-US">
            <a:solidFill>
              <a:sysClr val="windowText" lastClr="000000"/>
            </a:solidFill>
            <a:effectLst/>
          </a:endParaRPr>
        </a:p>
        <a:p>
          <a:r>
            <a:rPr lang="en-US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personal care products, and residual nutrients in engineered natural systems</a:t>
          </a:r>
          <a:endParaRPr lang="en-US">
            <a:solidFill>
              <a:sysClr val="windowText" lastClr="000000"/>
            </a:solidFill>
            <a:effectLst/>
          </a:endParaRPr>
        </a:p>
        <a:p>
          <a:endParaRPr lang="en-US" sz="1100">
            <a:solidFill>
              <a:srgbClr val="92D050"/>
            </a:solidFill>
          </a:endParaRP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8"/>
  <sheetViews>
    <sheetView topLeftCell="A13" zoomScaleNormal="100" workbookViewId="0">
      <selection activeCell="A32" sqref="A32"/>
    </sheetView>
  </sheetViews>
  <sheetFormatPr baseColWidth="10" defaultColWidth="11.5546875" defaultRowHeight="14.4" x14ac:dyDescent="0.3"/>
  <cols>
    <col min="1" max="1" width="62.44140625" bestFit="1" customWidth="1"/>
    <col min="2" max="2" width="14.109375" bestFit="1" customWidth="1"/>
    <col min="3" max="3" width="18.109375" bestFit="1" customWidth="1"/>
    <col min="5" max="5" width="12.44140625" customWidth="1"/>
    <col min="6" max="6" width="24.5546875" style="1" customWidth="1"/>
    <col min="7" max="7" width="11.5546875" style="14"/>
    <col min="8" max="8" width="15.44140625" style="1" customWidth="1"/>
    <col min="9" max="9" width="20.6640625" style="1" bestFit="1" customWidth="1"/>
    <col min="10" max="10" width="18.109375" style="1" customWidth="1"/>
    <col min="11" max="11" width="18.44140625" style="12" customWidth="1"/>
    <col min="12" max="12" width="11.5546875" style="8"/>
    <col min="13" max="13" width="11.5546875" style="12"/>
  </cols>
  <sheetData>
    <row r="1" spans="1:13" x14ac:dyDescent="0.3">
      <c r="A1" s="42" t="s">
        <v>134</v>
      </c>
      <c r="B1" s="42"/>
      <c r="C1" s="42"/>
      <c r="D1" s="42"/>
      <c r="E1" s="42"/>
      <c r="F1" s="42"/>
      <c r="G1" s="42"/>
      <c r="H1" s="42"/>
      <c r="I1" s="10"/>
      <c r="J1" s="10"/>
      <c r="K1" s="8"/>
      <c r="M1" s="8"/>
    </row>
    <row r="2" spans="1:13" x14ac:dyDescent="0.3">
      <c r="A2" s="42"/>
      <c r="B2" s="42"/>
      <c r="C2" s="42"/>
      <c r="D2" s="42"/>
      <c r="E2" s="42"/>
      <c r="F2" s="42"/>
      <c r="G2" s="42"/>
      <c r="H2" s="42"/>
      <c r="I2" s="10"/>
      <c r="J2" s="10"/>
      <c r="K2" s="8"/>
      <c r="M2" s="8"/>
    </row>
    <row r="3" spans="1:13" s="7" customFormat="1" ht="46.8" x14ac:dyDescent="0.3">
      <c r="A3" s="6" t="s">
        <v>0</v>
      </c>
      <c r="B3" s="6" t="s">
        <v>147</v>
      </c>
      <c r="C3" s="6" t="s">
        <v>24</v>
      </c>
      <c r="D3" s="6" t="s">
        <v>27</v>
      </c>
      <c r="E3" s="6" t="s">
        <v>28</v>
      </c>
      <c r="F3" s="6" t="s">
        <v>146</v>
      </c>
      <c r="G3" s="6" t="s">
        <v>26</v>
      </c>
      <c r="H3" s="15" t="s">
        <v>25</v>
      </c>
      <c r="I3" s="6" t="s">
        <v>145</v>
      </c>
      <c r="J3" s="6"/>
      <c r="K3" s="26"/>
      <c r="L3" s="6"/>
      <c r="M3" s="6"/>
    </row>
    <row r="4" spans="1:13" x14ac:dyDescent="0.3">
      <c r="A4" s="16" t="s">
        <v>3</v>
      </c>
      <c r="B4" s="13">
        <v>1.03</v>
      </c>
      <c r="C4" s="13">
        <v>211.268</v>
      </c>
      <c r="D4" s="13">
        <v>1</v>
      </c>
      <c r="E4" s="13">
        <v>0</v>
      </c>
      <c r="F4" s="13">
        <v>-3.6</v>
      </c>
      <c r="G4" s="17">
        <v>2</v>
      </c>
      <c r="H4" s="23">
        <v>1.7215</v>
      </c>
      <c r="I4" s="18">
        <v>1660</v>
      </c>
      <c r="J4" s="13"/>
      <c r="K4" s="17"/>
      <c r="L4" s="17"/>
      <c r="M4" s="17"/>
    </row>
    <row r="5" spans="1:13" x14ac:dyDescent="0.3">
      <c r="A5" s="16" t="s">
        <v>4</v>
      </c>
      <c r="B5" s="13">
        <v>1.29</v>
      </c>
      <c r="C5" s="13">
        <v>119.127</v>
      </c>
      <c r="D5" s="13">
        <v>0</v>
      </c>
      <c r="E5" s="13">
        <v>0</v>
      </c>
      <c r="F5" s="13">
        <v>-1.21</v>
      </c>
      <c r="G5" s="17">
        <v>1</v>
      </c>
      <c r="H5" s="25">
        <v>0.86419999999999997</v>
      </c>
      <c r="I5" s="13">
        <v>149</v>
      </c>
      <c r="J5" s="13"/>
      <c r="K5" s="17"/>
      <c r="L5" s="17"/>
      <c r="M5" s="17"/>
    </row>
    <row r="6" spans="1:13" x14ac:dyDescent="0.3">
      <c r="A6" s="16" t="s">
        <v>15</v>
      </c>
      <c r="B6" s="13">
        <v>-0.4</v>
      </c>
      <c r="C6" s="13">
        <v>215.24</v>
      </c>
      <c r="D6" s="13">
        <v>0</v>
      </c>
      <c r="E6" s="13">
        <v>1</v>
      </c>
      <c r="F6" s="13">
        <v>-2.37</v>
      </c>
      <c r="G6" s="17">
        <v>1</v>
      </c>
      <c r="H6" s="23">
        <v>1.3086</v>
      </c>
      <c r="I6" s="18">
        <v>60</v>
      </c>
      <c r="J6" s="13"/>
      <c r="K6" s="17"/>
      <c r="L6" s="17"/>
      <c r="M6" s="17"/>
    </row>
    <row r="7" spans="1:13" x14ac:dyDescent="0.3">
      <c r="A7" s="16" t="s">
        <v>16</v>
      </c>
      <c r="B7" s="13">
        <v>-0.23</v>
      </c>
      <c r="C7" s="13">
        <v>208.23</v>
      </c>
      <c r="D7" s="13">
        <v>0</v>
      </c>
      <c r="E7" s="13">
        <v>1</v>
      </c>
      <c r="F7" s="13">
        <v>-3.01</v>
      </c>
      <c r="G7" s="17">
        <v>2</v>
      </c>
      <c r="H7" s="23">
        <v>1.425</v>
      </c>
      <c r="I7" s="18">
        <v>110</v>
      </c>
      <c r="J7" s="13"/>
      <c r="K7" s="17"/>
      <c r="L7" s="17"/>
      <c r="M7" s="17"/>
    </row>
    <row r="8" spans="1:13" x14ac:dyDescent="0.3">
      <c r="A8" s="16" t="s">
        <v>5</v>
      </c>
      <c r="B8" s="13">
        <v>1.83</v>
      </c>
      <c r="C8" s="13">
        <v>145.161</v>
      </c>
      <c r="D8" s="13">
        <v>0</v>
      </c>
      <c r="E8" s="13">
        <v>0</v>
      </c>
      <c r="F8" s="13">
        <v>-1.55</v>
      </c>
      <c r="G8" s="17">
        <v>2</v>
      </c>
      <c r="H8" s="23">
        <v>1.103</v>
      </c>
      <c r="I8" s="18">
        <v>2020</v>
      </c>
      <c r="J8" s="13"/>
      <c r="K8" s="17"/>
      <c r="L8" s="17"/>
      <c r="M8" s="17"/>
    </row>
    <row r="9" spans="1:13" x14ac:dyDescent="0.3">
      <c r="A9" s="16" t="s">
        <v>23</v>
      </c>
      <c r="B9" s="13">
        <v>1.35</v>
      </c>
      <c r="C9" s="13">
        <v>139.11000000000001</v>
      </c>
      <c r="D9" s="13">
        <v>0</v>
      </c>
      <c r="E9" s="13" t="s">
        <v>22</v>
      </c>
      <c r="F9" s="13">
        <v>-1.43</v>
      </c>
      <c r="G9" s="17">
        <v>1</v>
      </c>
      <c r="H9" s="25">
        <v>0.94930000000000003</v>
      </c>
      <c r="I9" s="18">
        <v>290</v>
      </c>
      <c r="J9" s="13"/>
      <c r="K9" s="17"/>
      <c r="L9" s="17"/>
      <c r="M9" s="17"/>
    </row>
    <row r="10" spans="1:13" s="9" customFormat="1" x14ac:dyDescent="0.3">
      <c r="A10" s="16" t="s">
        <v>17</v>
      </c>
      <c r="B10" s="13">
        <v>1.91</v>
      </c>
      <c r="C10" s="13">
        <v>203.24</v>
      </c>
      <c r="D10" s="13">
        <v>1</v>
      </c>
      <c r="E10" s="13">
        <v>0</v>
      </c>
      <c r="F10" s="13">
        <v>-3.27</v>
      </c>
      <c r="G10" s="17">
        <v>2</v>
      </c>
      <c r="H10" s="23">
        <v>1.5844</v>
      </c>
      <c r="I10" s="13">
        <v>210</v>
      </c>
      <c r="J10" s="13"/>
      <c r="K10" s="17"/>
      <c r="L10" s="17"/>
      <c r="M10" s="17"/>
    </row>
    <row r="11" spans="1:13" x14ac:dyDescent="0.3">
      <c r="A11" s="16" t="s">
        <v>6</v>
      </c>
      <c r="B11" s="13">
        <v>-1.49</v>
      </c>
      <c r="C11" s="13">
        <v>163.15</v>
      </c>
      <c r="D11" s="13">
        <v>0</v>
      </c>
      <c r="E11" s="13">
        <v>1</v>
      </c>
      <c r="F11" s="13">
        <v>1.22</v>
      </c>
      <c r="G11" s="17">
        <v>0</v>
      </c>
      <c r="H11" s="25">
        <v>0.97570000000000001</v>
      </c>
      <c r="I11" s="19">
        <v>4.2</v>
      </c>
      <c r="J11" s="13"/>
      <c r="K11" s="17"/>
      <c r="L11" s="17"/>
      <c r="M11" s="17"/>
    </row>
    <row r="12" spans="1:13" x14ac:dyDescent="0.3">
      <c r="A12" s="20" t="s">
        <v>18</v>
      </c>
      <c r="B12" s="13">
        <v>1.8</v>
      </c>
      <c r="C12" s="13">
        <v>191.19</v>
      </c>
      <c r="D12" s="13">
        <v>1</v>
      </c>
      <c r="E12" s="13">
        <v>0</v>
      </c>
      <c r="F12" s="13">
        <v>-2.65</v>
      </c>
      <c r="G12" s="17">
        <v>1</v>
      </c>
      <c r="H12" s="23">
        <v>1.3613</v>
      </c>
      <c r="I12" s="13">
        <v>400</v>
      </c>
      <c r="J12" s="13"/>
      <c r="K12" s="17"/>
      <c r="L12" s="17"/>
      <c r="M12" s="17"/>
    </row>
    <row r="13" spans="1:13" s="2" customFormat="1" x14ac:dyDescent="0.3">
      <c r="A13" s="20" t="s">
        <v>7</v>
      </c>
      <c r="B13" s="13">
        <v>-0.86</v>
      </c>
      <c r="C13" s="13">
        <v>331.34699999999998</v>
      </c>
      <c r="D13" s="13">
        <v>1</v>
      </c>
      <c r="E13" s="13">
        <v>1</v>
      </c>
      <c r="F13" s="21">
        <v>-2.27</v>
      </c>
      <c r="G13" s="17">
        <v>1</v>
      </c>
      <c r="H13" s="23">
        <v>2.3047</v>
      </c>
      <c r="I13" s="22">
        <v>35.5</v>
      </c>
      <c r="J13" s="13"/>
      <c r="K13" s="17"/>
      <c r="L13" s="17"/>
      <c r="M13" s="17"/>
    </row>
    <row r="14" spans="1:13" x14ac:dyDescent="0.3">
      <c r="A14" s="16" t="s">
        <v>8</v>
      </c>
      <c r="B14" s="13">
        <v>-1.72</v>
      </c>
      <c r="C14" s="13">
        <v>99.177000000000007</v>
      </c>
      <c r="D14" s="13">
        <v>1</v>
      </c>
      <c r="E14" s="13">
        <v>0</v>
      </c>
      <c r="F14" s="13">
        <v>1.03</v>
      </c>
      <c r="G14" s="17">
        <v>0</v>
      </c>
      <c r="H14" s="25">
        <v>0.94520000000000004</v>
      </c>
      <c r="I14" s="19">
        <v>144</v>
      </c>
      <c r="J14" s="13"/>
      <c r="K14" s="17"/>
      <c r="L14" s="17"/>
      <c r="M14" s="17"/>
    </row>
    <row r="15" spans="1:13" x14ac:dyDescent="0.3">
      <c r="A15" s="16" t="s">
        <v>9</v>
      </c>
      <c r="B15" s="13">
        <v>2.69</v>
      </c>
      <c r="C15" s="13">
        <v>222.24</v>
      </c>
      <c r="D15" s="3">
        <v>0</v>
      </c>
      <c r="E15" s="3">
        <v>0</v>
      </c>
      <c r="F15" s="13">
        <v>-2.72</v>
      </c>
      <c r="G15" s="17">
        <v>1</v>
      </c>
      <c r="H15" s="23">
        <v>1.7105999999999999</v>
      </c>
      <c r="I15" s="19">
        <v>105</v>
      </c>
      <c r="J15" s="13"/>
      <c r="K15" s="17"/>
      <c r="L15" s="17"/>
      <c r="M15" s="17"/>
    </row>
    <row r="16" spans="1:13" x14ac:dyDescent="0.3">
      <c r="A16" s="16" t="s">
        <v>10</v>
      </c>
      <c r="B16" s="13">
        <v>-1.27</v>
      </c>
      <c r="C16" s="13">
        <v>171.24</v>
      </c>
      <c r="D16" s="13">
        <v>1</v>
      </c>
      <c r="E16" s="13">
        <v>1</v>
      </c>
      <c r="F16" s="13">
        <v>-1.1200000000000001</v>
      </c>
      <c r="G16" s="17">
        <v>0</v>
      </c>
      <c r="H16" s="23">
        <v>1.4422999999999999</v>
      </c>
      <c r="I16" s="19">
        <v>59</v>
      </c>
      <c r="J16" s="13"/>
      <c r="K16" s="17"/>
      <c r="L16" s="17"/>
      <c r="M16" s="17"/>
    </row>
    <row r="17" spans="1:13" x14ac:dyDescent="0.3">
      <c r="A17" s="16" t="s">
        <v>11</v>
      </c>
      <c r="B17" s="13">
        <v>-3.93</v>
      </c>
      <c r="C17" s="13">
        <v>102.09699999999999</v>
      </c>
      <c r="D17" s="13">
        <v>1</v>
      </c>
      <c r="E17" s="13">
        <v>0</v>
      </c>
      <c r="F17" s="13">
        <v>2.2799999999999998</v>
      </c>
      <c r="G17" s="17">
        <v>0</v>
      </c>
      <c r="H17" s="25">
        <v>0.76229999999999998</v>
      </c>
      <c r="I17" s="19">
        <v>63.1</v>
      </c>
      <c r="J17" s="13"/>
      <c r="K17" s="17"/>
      <c r="L17" s="17"/>
      <c r="M17" s="17"/>
    </row>
    <row r="18" spans="1:13" x14ac:dyDescent="0.3">
      <c r="A18" s="20" t="s">
        <v>12</v>
      </c>
      <c r="B18" s="13">
        <v>-0.25</v>
      </c>
      <c r="C18" s="13">
        <v>214.65</v>
      </c>
      <c r="D18" s="13">
        <v>0</v>
      </c>
      <c r="E18" s="13">
        <v>1</v>
      </c>
      <c r="F18" s="13">
        <v>-2.95</v>
      </c>
      <c r="G18" s="17">
        <v>1</v>
      </c>
      <c r="H18" s="23">
        <v>1.5355000000000001</v>
      </c>
      <c r="I18" s="19">
        <v>48.3</v>
      </c>
      <c r="J18" s="13"/>
      <c r="K18" s="17"/>
      <c r="L18" s="17"/>
      <c r="M18" s="17"/>
    </row>
    <row r="19" spans="1:13" x14ac:dyDescent="0.3">
      <c r="A19" s="16" t="s">
        <v>20</v>
      </c>
      <c r="B19" s="23">
        <v>0.17</v>
      </c>
      <c r="C19" s="23">
        <v>375.48</v>
      </c>
      <c r="D19" s="18">
        <v>1</v>
      </c>
      <c r="E19" s="18">
        <v>0</v>
      </c>
      <c r="F19" s="13">
        <v>-1.45</v>
      </c>
      <c r="G19" s="24">
        <v>1</v>
      </c>
      <c r="H19" s="23">
        <v>2.9611999999999998</v>
      </c>
      <c r="I19" s="18">
        <v>8913</v>
      </c>
      <c r="J19" s="13"/>
      <c r="K19" s="17"/>
      <c r="L19" s="17"/>
      <c r="M19" s="17"/>
    </row>
    <row r="20" spans="1:13" x14ac:dyDescent="0.3">
      <c r="A20" s="16" t="s">
        <v>188</v>
      </c>
      <c r="B20" s="23">
        <v>-1.22</v>
      </c>
      <c r="C20" s="23">
        <v>214.03899999999999</v>
      </c>
      <c r="D20" s="18">
        <v>0</v>
      </c>
      <c r="E20" s="18">
        <v>1</v>
      </c>
      <c r="F20" s="13">
        <v>-2.82</v>
      </c>
      <c r="G20" s="24">
        <v>0</v>
      </c>
      <c r="H20" s="25">
        <v>0.87050000000000005</v>
      </c>
      <c r="I20" s="13">
        <v>64</v>
      </c>
      <c r="J20" s="13"/>
      <c r="K20" s="17"/>
      <c r="L20" s="17"/>
      <c r="M20" s="17"/>
    </row>
    <row r="21" spans="1:13" x14ac:dyDescent="0.3">
      <c r="A21" s="16" t="s">
        <v>189</v>
      </c>
      <c r="B21" s="23">
        <v>0.251</v>
      </c>
      <c r="C21" s="23">
        <v>299.10000000000002</v>
      </c>
      <c r="D21" s="4">
        <v>0</v>
      </c>
      <c r="E21" s="5">
        <v>1</v>
      </c>
      <c r="F21" s="13">
        <v>-3.36</v>
      </c>
      <c r="G21" s="24">
        <v>0</v>
      </c>
      <c r="H21" s="23">
        <v>1.1711</v>
      </c>
      <c r="I21" s="18">
        <v>180</v>
      </c>
      <c r="J21" s="13"/>
      <c r="K21" s="17"/>
      <c r="L21" s="17"/>
      <c r="M21" s="17"/>
    </row>
    <row r="22" spans="1:13" x14ac:dyDescent="0.3">
      <c r="A22" s="16" t="s">
        <v>13</v>
      </c>
      <c r="B22" s="13">
        <v>0.14000000000000001</v>
      </c>
      <c r="C22" s="13">
        <v>253.28</v>
      </c>
      <c r="D22" s="13">
        <v>0</v>
      </c>
      <c r="E22" s="13">
        <v>1</v>
      </c>
      <c r="F22" s="13">
        <v>-1.03</v>
      </c>
      <c r="G22" s="17">
        <v>1</v>
      </c>
      <c r="H22" s="13">
        <v>1.72</v>
      </c>
      <c r="I22" s="18">
        <v>260</v>
      </c>
      <c r="J22" s="13"/>
      <c r="K22" s="17"/>
      <c r="L22" s="17"/>
      <c r="M22" s="17"/>
    </row>
    <row r="23" spans="1:13" x14ac:dyDescent="0.3">
      <c r="A23" s="16" t="s">
        <v>21</v>
      </c>
      <c r="B23" s="13">
        <v>-2.54</v>
      </c>
      <c r="C23" s="13">
        <v>130.25</v>
      </c>
      <c r="D23" s="13">
        <v>1</v>
      </c>
      <c r="E23" s="13">
        <v>0</v>
      </c>
      <c r="F23" s="25">
        <v>0.45</v>
      </c>
      <c r="G23" s="17">
        <v>0</v>
      </c>
      <c r="H23" s="13">
        <v>1.36</v>
      </c>
      <c r="I23" s="18">
        <v>91</v>
      </c>
      <c r="J23" s="13"/>
      <c r="K23" s="17"/>
      <c r="L23" s="17"/>
      <c r="M23" s="17"/>
    </row>
    <row r="24" spans="1:13" x14ac:dyDescent="0.3">
      <c r="A24" s="16" t="s">
        <v>19</v>
      </c>
      <c r="B24" s="13">
        <v>0.24</v>
      </c>
      <c r="C24" s="13">
        <v>263.38</v>
      </c>
      <c r="D24" s="13">
        <v>1</v>
      </c>
      <c r="E24" s="13">
        <v>0</v>
      </c>
      <c r="F24" s="13">
        <v>-0.16</v>
      </c>
      <c r="G24" s="17">
        <v>1</v>
      </c>
      <c r="H24" s="13">
        <v>2.23</v>
      </c>
      <c r="I24" s="18">
        <v>490</v>
      </c>
      <c r="J24" s="13"/>
      <c r="K24" s="17"/>
      <c r="L24" s="17"/>
      <c r="M24" s="17"/>
    </row>
    <row r="25" spans="1:13" x14ac:dyDescent="0.3">
      <c r="A25" s="16" t="s">
        <v>14</v>
      </c>
      <c r="B25" s="13">
        <v>1.18</v>
      </c>
      <c r="C25" s="13">
        <v>182.15600000000001</v>
      </c>
      <c r="D25" s="13">
        <v>0</v>
      </c>
      <c r="E25" s="13">
        <v>0</v>
      </c>
      <c r="F25" s="13">
        <v>-1.21</v>
      </c>
      <c r="G25" s="17">
        <v>0</v>
      </c>
      <c r="H25" s="23">
        <v>1.3934</v>
      </c>
      <c r="I25" s="13">
        <v>65</v>
      </c>
      <c r="J25" s="13"/>
      <c r="K25" s="17"/>
      <c r="L25" s="17"/>
      <c r="M25" s="27"/>
    </row>
    <row r="26" spans="1:13" x14ac:dyDescent="0.3">
      <c r="A26" s="16" t="s">
        <v>36</v>
      </c>
      <c r="B26" s="13">
        <v>-2.62</v>
      </c>
      <c r="C26" s="13">
        <v>114.02</v>
      </c>
      <c r="D26" s="13">
        <v>0</v>
      </c>
      <c r="E26" s="13">
        <v>1</v>
      </c>
      <c r="F26" s="13">
        <v>1.1100000000000001</v>
      </c>
      <c r="G26" s="17">
        <v>0</v>
      </c>
      <c r="H26" s="13">
        <v>0.72599999999999998</v>
      </c>
      <c r="I26" s="18">
        <v>3.23</v>
      </c>
      <c r="J26" s="13"/>
      <c r="K26" s="17"/>
      <c r="L26" s="17"/>
      <c r="M26" s="27"/>
    </row>
    <row r="27" spans="1:13" x14ac:dyDescent="0.3">
      <c r="A27" s="20" t="s">
        <v>190</v>
      </c>
      <c r="B27" s="13">
        <v>-0.54</v>
      </c>
      <c r="C27" s="13">
        <v>264.05</v>
      </c>
      <c r="D27" s="13">
        <v>0</v>
      </c>
      <c r="E27" s="13">
        <v>1</v>
      </c>
      <c r="F27" s="23">
        <v>-3.72</v>
      </c>
      <c r="G27" s="17">
        <v>0</v>
      </c>
      <c r="H27" s="13">
        <v>1.05</v>
      </c>
      <c r="I27" s="19">
        <v>269</v>
      </c>
      <c r="J27" s="13"/>
      <c r="K27" s="17"/>
      <c r="L27" s="17"/>
      <c r="M27" s="27"/>
    </row>
    <row r="28" spans="1:13" x14ac:dyDescent="0.3">
      <c r="A28" s="20" t="s">
        <v>191</v>
      </c>
      <c r="B28" s="13">
        <v>0.18</v>
      </c>
      <c r="C28" s="13">
        <v>314.05</v>
      </c>
      <c r="D28" s="13">
        <v>0</v>
      </c>
      <c r="E28" s="13">
        <v>1</v>
      </c>
      <c r="F28" s="23">
        <v>-4.59</v>
      </c>
      <c r="G28" s="17">
        <v>0</v>
      </c>
      <c r="H28" s="13">
        <v>1.22</v>
      </c>
      <c r="I28" s="19">
        <v>282</v>
      </c>
      <c r="J28" s="13"/>
      <c r="K28" s="17"/>
      <c r="L28" s="17"/>
      <c r="M28" s="27"/>
    </row>
    <row r="29" spans="1:13" x14ac:dyDescent="0.3">
      <c r="A29" s="20" t="s">
        <v>192</v>
      </c>
      <c r="B29" s="13">
        <v>0.88</v>
      </c>
      <c r="C29" s="13">
        <v>364.06</v>
      </c>
      <c r="D29" s="13">
        <v>0</v>
      </c>
      <c r="E29" s="13">
        <v>1</v>
      </c>
      <c r="F29" s="23">
        <v>-5.42</v>
      </c>
      <c r="G29" s="17">
        <v>0</v>
      </c>
      <c r="H29" s="13">
        <v>1.4</v>
      </c>
      <c r="I29" s="19">
        <v>5890</v>
      </c>
      <c r="J29" s="13"/>
      <c r="K29" s="17"/>
      <c r="L29" s="17"/>
      <c r="M29" s="27"/>
    </row>
    <row r="30" spans="1:13" x14ac:dyDescent="0.3">
      <c r="A30" s="20" t="s">
        <v>194</v>
      </c>
      <c r="B30" s="13">
        <v>-0.45</v>
      </c>
      <c r="C30" s="13">
        <v>249.09</v>
      </c>
      <c r="D30" s="13">
        <v>0</v>
      </c>
      <c r="E30" s="13">
        <v>1</v>
      </c>
      <c r="F30" s="23">
        <v>-2.48</v>
      </c>
      <c r="G30" s="17">
        <v>0</v>
      </c>
      <c r="H30" s="13">
        <v>0.995</v>
      </c>
      <c r="I30" s="19">
        <v>48</v>
      </c>
      <c r="J30" s="13"/>
      <c r="K30" s="17"/>
      <c r="L30" s="17"/>
      <c r="M30" s="27"/>
    </row>
    <row r="31" spans="1:13" x14ac:dyDescent="0.3">
      <c r="A31" s="20" t="s">
        <v>195</v>
      </c>
      <c r="B31" s="13">
        <v>0.95</v>
      </c>
      <c r="C31" s="13">
        <v>350.11</v>
      </c>
      <c r="D31" s="13">
        <v>0</v>
      </c>
      <c r="E31" s="13">
        <v>1</v>
      </c>
      <c r="F31" s="23">
        <v>-4.2</v>
      </c>
      <c r="G31" s="17">
        <v>0</v>
      </c>
      <c r="H31" s="13">
        <v>1.35</v>
      </c>
      <c r="I31" s="19">
        <v>1023</v>
      </c>
      <c r="J31" s="13"/>
      <c r="K31" s="17"/>
      <c r="L31" s="17"/>
      <c r="M31" s="27"/>
    </row>
    <row r="32" spans="1:13" x14ac:dyDescent="0.3">
      <c r="A32" s="20" t="s">
        <v>196</v>
      </c>
      <c r="B32" s="13">
        <v>1.65</v>
      </c>
      <c r="C32" s="13">
        <v>400.11</v>
      </c>
      <c r="D32" s="13">
        <v>0</v>
      </c>
      <c r="E32" s="13">
        <v>1</v>
      </c>
      <c r="F32" s="23">
        <v>-5</v>
      </c>
      <c r="G32" s="17">
        <v>0</v>
      </c>
      <c r="H32" s="13">
        <v>1.52</v>
      </c>
      <c r="I32" s="19">
        <v>1995</v>
      </c>
      <c r="J32" s="13"/>
      <c r="K32" s="17"/>
      <c r="L32" s="17"/>
      <c r="M32" s="27"/>
    </row>
    <row r="33" spans="1:15" x14ac:dyDescent="0.3">
      <c r="A33" s="27" t="s">
        <v>193</v>
      </c>
      <c r="B33" s="13">
        <v>0.47</v>
      </c>
      <c r="C33" s="13">
        <v>330.05</v>
      </c>
      <c r="D33" s="13">
        <v>0</v>
      </c>
      <c r="E33" s="13">
        <v>1</v>
      </c>
      <c r="F33" s="23">
        <v>-4.82</v>
      </c>
      <c r="G33" s="17">
        <v>0</v>
      </c>
      <c r="H33" s="13">
        <v>1.28</v>
      </c>
      <c r="I33" s="19">
        <v>119</v>
      </c>
      <c r="J33" s="13"/>
      <c r="K33" s="17"/>
      <c r="L33" s="17"/>
      <c r="M33" s="27"/>
    </row>
    <row r="34" spans="1:15" s="12" customFormat="1" x14ac:dyDescent="0.3">
      <c r="A34" s="27" t="s">
        <v>37</v>
      </c>
      <c r="B34" s="17">
        <v>-3.8</v>
      </c>
      <c r="C34" s="17">
        <v>150.08000000000001</v>
      </c>
      <c r="D34" s="17">
        <v>0</v>
      </c>
      <c r="E34" s="17">
        <v>1</v>
      </c>
      <c r="F34" s="28">
        <v>-0.61</v>
      </c>
      <c r="G34" s="17">
        <v>0</v>
      </c>
      <c r="H34" s="17">
        <v>0.64200000000000002</v>
      </c>
      <c r="I34" s="29">
        <v>2.25</v>
      </c>
      <c r="J34" s="13"/>
      <c r="K34" s="17"/>
      <c r="L34" s="17"/>
      <c r="M34" s="27"/>
    </row>
    <row r="35" spans="1:15" x14ac:dyDescent="0.3">
      <c r="A35" s="20" t="s">
        <v>38</v>
      </c>
      <c r="B35" s="13">
        <v>-4.5</v>
      </c>
      <c r="C35" s="13">
        <v>290.06</v>
      </c>
      <c r="D35" s="13">
        <v>0</v>
      </c>
      <c r="E35" s="13">
        <v>1</v>
      </c>
      <c r="F35" s="21">
        <v>-3.39</v>
      </c>
      <c r="G35" s="17">
        <v>0</v>
      </c>
      <c r="H35" s="13">
        <v>1.6</v>
      </c>
      <c r="I35" s="19">
        <v>912</v>
      </c>
      <c r="J35" s="13"/>
      <c r="K35" s="17"/>
      <c r="L35" s="17"/>
      <c r="M35" s="27"/>
    </row>
    <row r="36" spans="1:15" x14ac:dyDescent="0.3">
      <c r="A36" s="27" t="s">
        <v>148</v>
      </c>
      <c r="B36" s="13">
        <v>-3.06</v>
      </c>
      <c r="C36" s="13">
        <v>749</v>
      </c>
      <c r="D36" s="13">
        <v>1</v>
      </c>
      <c r="E36" s="13">
        <v>0</v>
      </c>
      <c r="F36" s="13">
        <v>0.38</v>
      </c>
      <c r="G36" s="17">
        <v>0</v>
      </c>
      <c r="H36" s="13">
        <v>6.33</v>
      </c>
      <c r="I36" s="13">
        <v>3162</v>
      </c>
      <c r="J36" s="13"/>
      <c r="K36" s="17"/>
      <c r="L36" s="27"/>
      <c r="M36" s="27"/>
    </row>
    <row r="37" spans="1:15" x14ac:dyDescent="0.3">
      <c r="A37" s="16" t="s">
        <v>149</v>
      </c>
      <c r="B37" s="13">
        <v>0.6</v>
      </c>
      <c r="C37" s="13">
        <v>733.9</v>
      </c>
      <c r="D37" s="31">
        <v>1</v>
      </c>
      <c r="E37" s="30">
        <v>0</v>
      </c>
      <c r="F37" s="31">
        <v>-0.27</v>
      </c>
      <c r="G37" s="31">
        <v>0</v>
      </c>
      <c r="H37" s="31">
        <v>6.07</v>
      </c>
      <c r="I37" s="13">
        <v>562</v>
      </c>
      <c r="J37" s="13"/>
      <c r="K37" s="17"/>
      <c r="L37" s="30"/>
      <c r="M37" s="30"/>
      <c r="N37" s="11"/>
      <c r="O37" s="11"/>
    </row>
    <row r="38" spans="1:15" s="9" customFormat="1" ht="16.2" x14ac:dyDescent="0.3">
      <c r="A38" s="16" t="s">
        <v>150</v>
      </c>
      <c r="B38" s="13">
        <v>-0.8</v>
      </c>
      <c r="C38" s="13">
        <v>361.4</v>
      </c>
      <c r="D38" s="13" t="s">
        <v>55</v>
      </c>
      <c r="E38" s="13">
        <v>0</v>
      </c>
      <c r="F38" s="13">
        <v>-2.21</v>
      </c>
      <c r="G38" s="17">
        <v>1</v>
      </c>
      <c r="H38" s="13">
        <v>2.44</v>
      </c>
      <c r="I38" s="13">
        <v>12.3</v>
      </c>
      <c r="J38" s="13"/>
      <c r="K38" s="17"/>
      <c r="L38" s="27"/>
      <c r="M38" s="27"/>
    </row>
    <row r="39" spans="1:15" s="9" customFormat="1" ht="16.2" x14ac:dyDescent="0.3">
      <c r="A39" s="16" t="s">
        <v>151</v>
      </c>
      <c r="B39" s="13">
        <v>0.92</v>
      </c>
      <c r="C39" s="13">
        <v>290.3</v>
      </c>
      <c r="D39" s="13" t="s">
        <v>56</v>
      </c>
      <c r="E39" s="13">
        <v>0</v>
      </c>
      <c r="F39" s="13">
        <v>-2.42</v>
      </c>
      <c r="G39" s="17">
        <v>1</v>
      </c>
      <c r="H39" s="13">
        <v>2.21</v>
      </c>
      <c r="I39" s="13">
        <v>724</v>
      </c>
      <c r="J39" s="13"/>
      <c r="K39" s="17"/>
      <c r="L39" s="27"/>
      <c r="M39" s="27"/>
    </row>
    <row r="40" spans="1:15" s="8" customFormat="1" x14ac:dyDescent="0.3">
      <c r="A40" s="27" t="s">
        <v>152</v>
      </c>
      <c r="B40" s="17">
        <v>2.77</v>
      </c>
      <c r="C40" s="17">
        <v>236.3</v>
      </c>
      <c r="D40" s="17">
        <v>0</v>
      </c>
      <c r="E40" s="17">
        <v>0</v>
      </c>
      <c r="F40" s="17">
        <v>-3.79</v>
      </c>
      <c r="G40" s="17">
        <v>2</v>
      </c>
      <c r="H40" s="17">
        <v>1.87</v>
      </c>
      <c r="I40" s="17">
        <v>1318</v>
      </c>
      <c r="J40" s="13"/>
      <c r="K40" s="17"/>
      <c r="L40" s="27"/>
      <c r="M40" s="27"/>
    </row>
    <row r="41" spans="1:15" x14ac:dyDescent="0.3">
      <c r="A41" s="16" t="s">
        <v>44</v>
      </c>
      <c r="B41" s="13">
        <v>0.74</v>
      </c>
      <c r="C41" s="13">
        <v>277.39999999999998</v>
      </c>
      <c r="D41" s="13">
        <v>1</v>
      </c>
      <c r="E41" s="13">
        <v>0</v>
      </c>
      <c r="F41" s="13">
        <v>-0.56999999999999995</v>
      </c>
      <c r="G41" s="17">
        <v>1</v>
      </c>
      <c r="H41" s="13">
        <v>2.62</v>
      </c>
      <c r="I41" s="13">
        <v>871</v>
      </c>
      <c r="J41" s="13"/>
      <c r="K41" s="17"/>
      <c r="L41" s="27"/>
      <c r="M41" s="27"/>
    </row>
    <row r="42" spans="1:15" x14ac:dyDescent="0.3">
      <c r="A42" s="16" t="s">
        <v>153</v>
      </c>
      <c r="B42" s="13">
        <v>0.59</v>
      </c>
      <c r="C42" s="13">
        <v>263.39999999999998</v>
      </c>
      <c r="D42" s="13">
        <v>1</v>
      </c>
      <c r="E42" s="13">
        <v>0</v>
      </c>
      <c r="F42" s="13">
        <v>-0.31</v>
      </c>
      <c r="G42" s="17">
        <v>1</v>
      </c>
      <c r="H42" s="13">
        <v>2.36</v>
      </c>
      <c r="I42" s="13">
        <v>1738</v>
      </c>
      <c r="J42" s="13"/>
      <c r="K42" s="17"/>
      <c r="L42" s="27"/>
      <c r="M42" s="27"/>
    </row>
    <row r="43" spans="1:15" x14ac:dyDescent="0.3">
      <c r="A43" s="16" t="s">
        <v>154</v>
      </c>
      <c r="B43" s="13">
        <v>0.97</v>
      </c>
      <c r="C43" s="13">
        <v>361.8</v>
      </c>
      <c r="D43" s="13">
        <v>0</v>
      </c>
      <c r="E43" s="13">
        <v>1</v>
      </c>
      <c r="F43" s="13">
        <v>-1.69</v>
      </c>
      <c r="G43" s="17">
        <v>2</v>
      </c>
      <c r="H43" s="13">
        <v>2.87</v>
      </c>
      <c r="I43" s="13">
        <v>417</v>
      </c>
      <c r="J43" s="13"/>
      <c r="K43" s="17"/>
      <c r="L43" s="27"/>
      <c r="M43" s="27"/>
    </row>
    <row r="44" spans="1:15" x14ac:dyDescent="0.3">
      <c r="A44" s="16" t="s">
        <v>155</v>
      </c>
      <c r="B44" s="13">
        <v>1.85</v>
      </c>
      <c r="C44" s="13">
        <v>250.3</v>
      </c>
      <c r="D44" s="13">
        <v>0</v>
      </c>
      <c r="E44" s="13">
        <v>1</v>
      </c>
      <c r="F44" s="13">
        <v>-0.73</v>
      </c>
      <c r="G44" s="17">
        <v>1</v>
      </c>
      <c r="H44" s="23">
        <v>2.4</v>
      </c>
      <c r="I44" s="13">
        <v>436</v>
      </c>
      <c r="J44" s="13"/>
      <c r="K44" s="17"/>
      <c r="L44" s="27"/>
      <c r="M44" s="27"/>
    </row>
    <row r="45" spans="1:15" x14ac:dyDescent="0.3">
      <c r="A45" s="16" t="s">
        <v>156</v>
      </c>
      <c r="B45" s="13">
        <v>1.38</v>
      </c>
      <c r="C45" s="13">
        <v>296.2</v>
      </c>
      <c r="D45" s="13">
        <v>0</v>
      </c>
      <c r="E45" s="13">
        <v>1</v>
      </c>
      <c r="F45" s="13">
        <v>-1.3</v>
      </c>
      <c r="G45" s="17">
        <v>2</v>
      </c>
      <c r="H45" s="13">
        <v>2.0699999999999998</v>
      </c>
      <c r="I45" s="13">
        <v>457</v>
      </c>
      <c r="J45" s="13"/>
      <c r="K45" s="17"/>
      <c r="L45" s="27"/>
      <c r="M45" s="27"/>
    </row>
    <row r="46" spans="1:15" x14ac:dyDescent="0.3">
      <c r="A46" s="16" t="s">
        <v>157</v>
      </c>
      <c r="B46" s="13">
        <v>0.72</v>
      </c>
      <c r="C46" s="13">
        <v>254.3</v>
      </c>
      <c r="D46" s="13">
        <v>0</v>
      </c>
      <c r="E46" s="13">
        <v>1</v>
      </c>
      <c r="F46" s="13">
        <v>-0.85</v>
      </c>
      <c r="G46" s="17">
        <v>2</v>
      </c>
      <c r="H46" s="13">
        <v>2.12</v>
      </c>
      <c r="I46" s="13">
        <v>389</v>
      </c>
      <c r="J46" s="13"/>
      <c r="K46" s="17"/>
      <c r="L46" s="27"/>
      <c r="M46" s="27"/>
    </row>
    <row r="47" spans="1:15" x14ac:dyDescent="0.3">
      <c r="A47" s="16" t="s">
        <v>158</v>
      </c>
      <c r="B47" s="13">
        <v>-0.47</v>
      </c>
      <c r="C47" s="13">
        <v>267.3</v>
      </c>
      <c r="D47" s="13">
        <v>1</v>
      </c>
      <c r="E47" s="13">
        <v>0</v>
      </c>
      <c r="F47" s="13">
        <v>0.3</v>
      </c>
      <c r="G47" s="17">
        <v>1</v>
      </c>
      <c r="H47" s="13">
        <v>2.59</v>
      </c>
      <c r="I47" s="13">
        <v>115</v>
      </c>
      <c r="J47" s="13"/>
      <c r="K47" s="17"/>
      <c r="L47" s="27"/>
      <c r="M47" s="27"/>
    </row>
    <row r="48" spans="1:15" x14ac:dyDescent="0.3">
      <c r="A48" s="16" t="s">
        <v>159</v>
      </c>
      <c r="B48" s="13">
        <v>-1.24</v>
      </c>
      <c r="C48" s="13">
        <v>267.3</v>
      </c>
      <c r="D48" s="13">
        <v>0</v>
      </c>
      <c r="E48" s="13">
        <v>1</v>
      </c>
      <c r="F48" s="13">
        <v>-1.47</v>
      </c>
      <c r="G48" s="17">
        <v>1</v>
      </c>
      <c r="H48" s="23">
        <v>3.3</v>
      </c>
      <c r="I48" s="13">
        <v>17</v>
      </c>
      <c r="J48" s="13"/>
      <c r="K48" s="17"/>
      <c r="L48" s="27"/>
      <c r="M48" s="27"/>
    </row>
    <row r="49" spans="1:13" x14ac:dyDescent="0.3">
      <c r="A49" s="16" t="s">
        <v>160</v>
      </c>
      <c r="B49" s="13">
        <v>-1.45</v>
      </c>
      <c r="C49" s="13">
        <v>330.7</v>
      </c>
      <c r="D49" s="13">
        <v>0</v>
      </c>
      <c r="E49" s="13">
        <v>1</v>
      </c>
      <c r="F49" s="13">
        <v>-3.18</v>
      </c>
      <c r="G49" s="17">
        <v>1</v>
      </c>
      <c r="H49" s="13">
        <v>2.06</v>
      </c>
      <c r="I49" s="13">
        <v>110</v>
      </c>
      <c r="J49" s="13"/>
      <c r="K49" s="17"/>
      <c r="L49" s="27"/>
      <c r="M49" s="27"/>
    </row>
    <row r="50" spans="1:13" x14ac:dyDescent="0.3">
      <c r="A50" s="16" t="s">
        <v>161</v>
      </c>
      <c r="B50" s="13">
        <v>-0.44</v>
      </c>
      <c r="C50" s="13">
        <v>791.1</v>
      </c>
      <c r="D50" s="13">
        <v>0</v>
      </c>
      <c r="E50" s="13">
        <v>0</v>
      </c>
      <c r="F50" s="13">
        <v>-2.2400000000000002</v>
      </c>
      <c r="G50" s="17">
        <v>1</v>
      </c>
      <c r="H50" s="13">
        <v>3.64</v>
      </c>
      <c r="I50" s="13">
        <v>10</v>
      </c>
      <c r="J50" s="13"/>
      <c r="K50" s="17"/>
      <c r="L50" s="27"/>
      <c r="M50" s="27"/>
    </row>
    <row r="51" spans="1:13" x14ac:dyDescent="0.3">
      <c r="A51" s="16" t="s">
        <v>162</v>
      </c>
      <c r="B51" s="13">
        <v>-1.64</v>
      </c>
      <c r="C51" s="13">
        <v>239.2</v>
      </c>
      <c r="D51" s="13">
        <v>1</v>
      </c>
      <c r="E51" s="13">
        <v>0</v>
      </c>
      <c r="F51" s="13">
        <v>1.2</v>
      </c>
      <c r="G51" s="17">
        <v>1</v>
      </c>
      <c r="H51" s="13">
        <v>2.08</v>
      </c>
      <c r="I51" s="13">
        <v>33.1</v>
      </c>
      <c r="J51" s="13"/>
      <c r="K51" s="17"/>
      <c r="L51" s="27"/>
      <c r="M51" s="27"/>
    </row>
    <row r="52" spans="1:13" s="9" customFormat="1" x14ac:dyDescent="0.3">
      <c r="A52" s="16" t="s">
        <v>69</v>
      </c>
      <c r="B52" s="13">
        <v>2.2400000000000002</v>
      </c>
      <c r="C52" s="13">
        <v>239.3</v>
      </c>
      <c r="D52" s="13">
        <v>1</v>
      </c>
      <c r="E52" s="13">
        <v>0</v>
      </c>
      <c r="F52" s="23">
        <v>-3.92</v>
      </c>
      <c r="G52" s="17">
        <v>2</v>
      </c>
      <c r="H52" s="13">
        <v>2.21</v>
      </c>
      <c r="I52" s="13">
        <v>14790</v>
      </c>
      <c r="J52" s="13"/>
      <c r="K52" s="17"/>
      <c r="L52" s="27"/>
      <c r="M52" s="27"/>
    </row>
    <row r="53" spans="1:13" s="9" customFormat="1" ht="16.2" x14ac:dyDescent="0.3">
      <c r="A53" s="16" t="s">
        <v>163</v>
      </c>
      <c r="B53" s="13">
        <v>-0.64</v>
      </c>
      <c r="C53" s="13">
        <v>152.11000000000001</v>
      </c>
      <c r="D53" s="13">
        <v>0</v>
      </c>
      <c r="E53" s="13" t="s">
        <v>72</v>
      </c>
      <c r="F53" s="13">
        <v>-1.45</v>
      </c>
      <c r="G53" s="17">
        <v>0</v>
      </c>
      <c r="H53" s="13">
        <v>0.78400000000000003</v>
      </c>
      <c r="I53" s="13">
        <v>10</v>
      </c>
      <c r="J53" s="13"/>
      <c r="K53" s="17"/>
      <c r="L53" s="27"/>
      <c r="M53" s="27"/>
    </row>
    <row r="54" spans="1:13" s="9" customFormat="1" x14ac:dyDescent="0.3">
      <c r="A54" s="16" t="s">
        <v>164</v>
      </c>
      <c r="B54" s="13">
        <v>-1.85</v>
      </c>
      <c r="C54" s="13">
        <v>170.25</v>
      </c>
      <c r="D54" s="13">
        <v>1</v>
      </c>
      <c r="E54" s="13">
        <v>0</v>
      </c>
      <c r="F54" s="13">
        <v>1.56</v>
      </c>
      <c r="G54" s="17">
        <v>0</v>
      </c>
      <c r="H54" s="13">
        <v>1.85</v>
      </c>
      <c r="I54" s="13">
        <v>40.700000000000003</v>
      </c>
      <c r="J54" s="13"/>
      <c r="K54" s="17"/>
      <c r="L54" s="27"/>
      <c r="M54" s="27"/>
    </row>
    <row r="55" spans="1:13" s="9" customFormat="1" x14ac:dyDescent="0.3">
      <c r="A55" s="16" t="s">
        <v>165</v>
      </c>
      <c r="B55" s="13">
        <v>1.1200000000000001</v>
      </c>
      <c r="C55" s="13">
        <v>218.26</v>
      </c>
      <c r="D55" s="13">
        <v>0</v>
      </c>
      <c r="E55" s="13">
        <v>0</v>
      </c>
      <c r="F55" s="13">
        <v>-1.93</v>
      </c>
      <c r="G55" s="17">
        <v>1</v>
      </c>
      <c r="H55" s="13">
        <v>1.77</v>
      </c>
      <c r="I55" s="13">
        <v>138</v>
      </c>
      <c r="J55" s="13"/>
      <c r="K55" s="17"/>
      <c r="L55" s="27"/>
      <c r="M55" s="27"/>
    </row>
    <row r="56" spans="1:13" s="9" customFormat="1" x14ac:dyDescent="0.3">
      <c r="A56" s="16" t="s">
        <v>166</v>
      </c>
      <c r="B56" s="13">
        <v>-0.59</v>
      </c>
      <c r="C56" s="13">
        <v>126.12</v>
      </c>
      <c r="D56" s="13">
        <v>0</v>
      </c>
      <c r="E56" s="13">
        <v>0</v>
      </c>
      <c r="F56" s="23">
        <v>-1.69</v>
      </c>
      <c r="G56" s="17">
        <v>0</v>
      </c>
      <c r="H56" s="13">
        <v>0.76</v>
      </c>
      <c r="I56" s="13">
        <v>32.4</v>
      </c>
      <c r="J56" s="13"/>
      <c r="K56" s="17"/>
      <c r="L56" s="27"/>
      <c r="M56" s="27"/>
    </row>
    <row r="57" spans="1:13" s="9" customFormat="1" x14ac:dyDescent="0.3">
      <c r="A57" s="16" t="s">
        <v>167</v>
      </c>
      <c r="B57" s="13">
        <v>-0.2</v>
      </c>
      <c r="C57" s="13">
        <v>186.22</v>
      </c>
      <c r="D57" s="13">
        <v>0</v>
      </c>
      <c r="E57" s="13">
        <v>1</v>
      </c>
      <c r="F57" s="23">
        <v>0.08</v>
      </c>
      <c r="G57" s="17">
        <v>1</v>
      </c>
      <c r="H57" s="13">
        <v>1.45</v>
      </c>
      <c r="I57" s="13">
        <v>26.9</v>
      </c>
      <c r="J57" s="13"/>
      <c r="K57" s="17"/>
      <c r="L57" s="27"/>
      <c r="M57" s="27"/>
    </row>
    <row r="58" spans="1:13" s="9" customFormat="1" x14ac:dyDescent="0.3">
      <c r="A58" s="16" t="s">
        <v>168</v>
      </c>
      <c r="B58" s="13">
        <v>-0.49</v>
      </c>
      <c r="C58" s="13">
        <v>183.18</v>
      </c>
      <c r="D58" s="13">
        <v>0</v>
      </c>
      <c r="E58" s="13">
        <v>1</v>
      </c>
      <c r="F58" s="23">
        <v>0.24</v>
      </c>
      <c r="G58" s="17">
        <v>1</v>
      </c>
      <c r="H58" s="13">
        <v>1.18</v>
      </c>
      <c r="I58" s="13">
        <v>10</v>
      </c>
      <c r="J58" s="13"/>
      <c r="K58" s="17"/>
      <c r="L58" s="27"/>
      <c r="M58" s="27"/>
    </row>
    <row r="59" spans="1:13" s="9" customFormat="1" x14ac:dyDescent="0.3">
      <c r="A59" s="16" t="s">
        <v>169</v>
      </c>
      <c r="B59" s="13">
        <v>0.42</v>
      </c>
      <c r="C59" s="13">
        <v>362.44</v>
      </c>
      <c r="D59" s="13">
        <v>0</v>
      </c>
      <c r="E59" s="13">
        <v>1</v>
      </c>
      <c r="F59" s="23">
        <v>-2.92</v>
      </c>
      <c r="G59" s="17">
        <v>0</v>
      </c>
      <c r="H59" s="23">
        <v>2.8</v>
      </c>
      <c r="I59" s="13">
        <v>85.1</v>
      </c>
      <c r="J59" s="13"/>
      <c r="K59" s="17"/>
      <c r="L59" s="27"/>
      <c r="M59" s="27"/>
    </row>
    <row r="60" spans="1:13" s="9" customFormat="1" x14ac:dyDescent="0.3">
      <c r="A60" s="16" t="s">
        <v>170</v>
      </c>
      <c r="B60" s="13">
        <v>-1.43</v>
      </c>
      <c r="C60" s="13">
        <v>151.25</v>
      </c>
      <c r="D60" s="13">
        <v>1</v>
      </c>
      <c r="E60" s="13">
        <v>0</v>
      </c>
      <c r="F60" s="23">
        <v>-2.17</v>
      </c>
      <c r="G60" s="17">
        <v>0</v>
      </c>
      <c r="H60" s="13">
        <v>1.42</v>
      </c>
      <c r="I60" s="13">
        <v>1318</v>
      </c>
      <c r="J60" s="13"/>
      <c r="K60" s="17"/>
      <c r="L60" s="27"/>
      <c r="M60" s="27"/>
    </row>
    <row r="61" spans="1:13" s="9" customFormat="1" x14ac:dyDescent="0.3">
      <c r="A61" s="16" t="s">
        <v>171</v>
      </c>
      <c r="B61" s="13">
        <v>-0.71</v>
      </c>
      <c r="C61" s="13">
        <v>172.2</v>
      </c>
      <c r="D61" s="13">
        <v>0</v>
      </c>
      <c r="E61" s="13">
        <v>1</v>
      </c>
      <c r="F61" s="23">
        <v>0.37</v>
      </c>
      <c r="G61" s="17">
        <v>1</v>
      </c>
      <c r="H61" s="13">
        <v>1.28</v>
      </c>
      <c r="I61" s="13">
        <v>16.2</v>
      </c>
      <c r="J61" s="13"/>
      <c r="K61" s="17"/>
      <c r="L61" s="27"/>
      <c r="M61" s="27"/>
    </row>
    <row r="62" spans="1:13" s="9" customFormat="1" x14ac:dyDescent="0.3">
      <c r="A62" s="16" t="s">
        <v>172</v>
      </c>
      <c r="B62" s="13">
        <v>0.06</v>
      </c>
      <c r="C62" s="13">
        <v>207.24</v>
      </c>
      <c r="D62" s="13">
        <v>0</v>
      </c>
      <c r="E62" s="13">
        <v>0</v>
      </c>
      <c r="F62" s="23">
        <v>-1.47</v>
      </c>
      <c r="G62" s="17">
        <v>0</v>
      </c>
      <c r="H62" s="13">
        <v>1.64</v>
      </c>
      <c r="I62" s="13">
        <v>10</v>
      </c>
      <c r="J62" s="13"/>
      <c r="K62" s="17"/>
      <c r="L62" s="17"/>
      <c r="M62" s="17"/>
    </row>
    <row r="63" spans="1:13" s="9" customFormat="1" x14ac:dyDescent="0.3">
      <c r="A63" s="16" t="s">
        <v>181</v>
      </c>
      <c r="B63" s="13">
        <v>-0.62</v>
      </c>
      <c r="C63" s="13">
        <v>613.91</v>
      </c>
      <c r="D63" s="13">
        <v>0</v>
      </c>
      <c r="E63" s="13">
        <v>1</v>
      </c>
      <c r="F63" s="23">
        <v>-3.82</v>
      </c>
      <c r="G63" s="17">
        <v>1</v>
      </c>
      <c r="H63" s="13">
        <v>2.34</v>
      </c>
      <c r="I63" s="13">
        <v>10</v>
      </c>
      <c r="J63" s="13"/>
      <c r="K63" s="17"/>
      <c r="L63" s="17"/>
      <c r="M63" s="17"/>
    </row>
    <row r="64" spans="1:13" s="9" customFormat="1" x14ac:dyDescent="0.3">
      <c r="A64" s="16" t="s">
        <v>173</v>
      </c>
      <c r="B64" s="13">
        <v>0.1</v>
      </c>
      <c r="C64" s="13">
        <v>231.26</v>
      </c>
      <c r="D64" s="13">
        <v>0</v>
      </c>
      <c r="E64" s="13">
        <v>0</v>
      </c>
      <c r="F64" s="13">
        <v>-1.37</v>
      </c>
      <c r="G64" s="17">
        <v>1</v>
      </c>
      <c r="H64" s="13">
        <v>1.78</v>
      </c>
      <c r="I64" s="13">
        <v>11.48</v>
      </c>
      <c r="J64" s="13"/>
      <c r="K64" s="17"/>
      <c r="L64" s="17"/>
      <c r="M64" s="17"/>
    </row>
    <row r="65" spans="1:13" s="9" customFormat="1" x14ac:dyDescent="0.3">
      <c r="A65" s="16" t="s">
        <v>174</v>
      </c>
      <c r="B65" s="13">
        <v>0.28999999999999998</v>
      </c>
      <c r="C65" s="13">
        <v>230.26</v>
      </c>
      <c r="D65" s="13">
        <v>0</v>
      </c>
      <c r="E65" s="13">
        <v>1</v>
      </c>
      <c r="F65" s="13">
        <v>-0.69</v>
      </c>
      <c r="G65" s="17">
        <v>2</v>
      </c>
      <c r="H65" s="17">
        <v>1.92</v>
      </c>
      <c r="I65" s="13">
        <v>339</v>
      </c>
      <c r="J65" s="13"/>
      <c r="K65" s="17"/>
      <c r="L65" s="17"/>
      <c r="M65" s="17"/>
    </row>
    <row r="66" spans="1:13" x14ac:dyDescent="0.3">
      <c r="A66" s="16" t="s">
        <v>175</v>
      </c>
      <c r="B66" s="13">
        <v>0.91</v>
      </c>
      <c r="C66" s="13">
        <v>151.16</v>
      </c>
      <c r="D66" s="13">
        <v>0</v>
      </c>
      <c r="E66" s="13">
        <v>0</v>
      </c>
      <c r="F66" s="13">
        <v>-1.1299999999999999</v>
      </c>
      <c r="G66" s="17">
        <v>1</v>
      </c>
      <c r="H66" s="13">
        <v>1.21</v>
      </c>
      <c r="I66" s="13">
        <v>44.7</v>
      </c>
      <c r="J66" s="13"/>
      <c r="K66" s="17"/>
      <c r="L66" s="17"/>
      <c r="M66" s="17"/>
    </row>
    <row r="67" spans="1:13" x14ac:dyDescent="0.3">
      <c r="A67" s="32" t="s">
        <v>176</v>
      </c>
      <c r="B67" s="33">
        <v>-0.68</v>
      </c>
      <c r="C67" s="33">
        <v>336.42</v>
      </c>
      <c r="D67" s="33">
        <v>1</v>
      </c>
      <c r="E67" s="33">
        <v>0</v>
      </c>
      <c r="F67" s="33">
        <v>-0.87</v>
      </c>
      <c r="G67" s="34">
        <v>1</v>
      </c>
      <c r="H67" s="34">
        <v>3.01</v>
      </c>
      <c r="I67" s="33">
        <v>25.1</v>
      </c>
      <c r="J67" s="13"/>
      <c r="K67" s="34"/>
      <c r="L67" s="17"/>
      <c r="M67" s="34"/>
    </row>
    <row r="68" spans="1:13" x14ac:dyDescent="0.3">
      <c r="A68" s="32" t="s">
        <v>177</v>
      </c>
      <c r="B68" s="33">
        <v>-1.78</v>
      </c>
      <c r="C68" s="33">
        <v>266.33999999999997</v>
      </c>
      <c r="D68" s="33">
        <v>1</v>
      </c>
      <c r="E68" s="33">
        <v>0</v>
      </c>
      <c r="F68" s="33">
        <v>0.43</v>
      </c>
      <c r="G68" s="34">
        <v>1</v>
      </c>
      <c r="H68" s="34">
        <v>2.37</v>
      </c>
      <c r="I68" s="33">
        <v>67.599999999999994</v>
      </c>
      <c r="J68" s="13"/>
      <c r="K68" s="34"/>
      <c r="L68" s="17"/>
      <c r="M68" s="34"/>
    </row>
    <row r="69" spans="1:13" x14ac:dyDescent="0.3">
      <c r="A69" s="32" t="s">
        <v>178</v>
      </c>
      <c r="B69" s="33">
        <v>0.21</v>
      </c>
      <c r="C69" s="33">
        <v>135.21</v>
      </c>
      <c r="D69" s="33">
        <v>0</v>
      </c>
      <c r="E69" s="33">
        <v>1</v>
      </c>
      <c r="F69" s="33">
        <v>0.63</v>
      </c>
      <c r="G69" s="33">
        <v>1</v>
      </c>
      <c r="H69" s="33">
        <v>1.46</v>
      </c>
      <c r="I69" s="33">
        <v>288</v>
      </c>
      <c r="J69" s="13"/>
      <c r="K69" s="33"/>
      <c r="L69" s="33"/>
      <c r="M69" s="33"/>
    </row>
    <row r="70" spans="1:13" x14ac:dyDescent="0.3">
      <c r="A70" s="32" t="s">
        <v>179</v>
      </c>
      <c r="B70" s="33">
        <v>-2.71</v>
      </c>
      <c r="C70" s="33">
        <v>229.23</v>
      </c>
      <c r="D70" s="33">
        <v>0</v>
      </c>
      <c r="E70" s="33">
        <v>1</v>
      </c>
      <c r="F70" s="33">
        <v>1.29</v>
      </c>
      <c r="G70" s="33">
        <v>0</v>
      </c>
      <c r="H70" s="33">
        <v>1.48</v>
      </c>
      <c r="I70" s="33">
        <v>1.07</v>
      </c>
      <c r="J70" s="13"/>
      <c r="K70" s="33"/>
      <c r="L70" s="33"/>
      <c r="M70" s="33"/>
    </row>
    <row r="71" spans="1:13" x14ac:dyDescent="0.3">
      <c r="A71" s="32" t="s">
        <v>180</v>
      </c>
      <c r="B71" s="33">
        <v>-2.21</v>
      </c>
      <c r="C71" s="33">
        <v>158.15</v>
      </c>
      <c r="D71" s="33">
        <v>0</v>
      </c>
      <c r="E71" s="33">
        <v>1</v>
      </c>
      <c r="F71" s="33">
        <v>2.15</v>
      </c>
      <c r="G71" s="33">
        <v>0</v>
      </c>
      <c r="H71" s="33">
        <v>0.94699999999999995</v>
      </c>
      <c r="I71" s="33">
        <v>2.4</v>
      </c>
      <c r="J71" s="13"/>
      <c r="K71" s="33"/>
      <c r="L71" s="33"/>
      <c r="M71" s="33"/>
    </row>
    <row r="72" spans="1:13" x14ac:dyDescent="0.3">
      <c r="A72" s="32" t="s">
        <v>182</v>
      </c>
      <c r="B72" s="33">
        <v>-1.03</v>
      </c>
      <c r="C72" s="33">
        <v>84.08</v>
      </c>
      <c r="D72" s="33">
        <v>0</v>
      </c>
      <c r="E72" s="33">
        <v>0</v>
      </c>
      <c r="F72" s="33">
        <v>0.23</v>
      </c>
      <c r="G72" s="33">
        <v>0</v>
      </c>
      <c r="H72" s="33">
        <v>0.66600000000000004</v>
      </c>
      <c r="I72" s="33">
        <v>8.91</v>
      </c>
      <c r="J72" s="13"/>
      <c r="K72" s="33"/>
      <c r="L72" s="33"/>
      <c r="M72" s="33"/>
    </row>
    <row r="73" spans="1:13" x14ac:dyDescent="0.3">
      <c r="A73" s="32" t="s">
        <v>183</v>
      </c>
      <c r="B73" s="33">
        <v>-2.31</v>
      </c>
      <c r="C73" s="33">
        <v>201.30600000000001</v>
      </c>
      <c r="D73" s="33">
        <v>1</v>
      </c>
      <c r="E73" s="33">
        <v>0</v>
      </c>
      <c r="F73" s="33">
        <v>1.64</v>
      </c>
      <c r="G73" s="33">
        <v>0</v>
      </c>
      <c r="H73" s="33">
        <v>1.77</v>
      </c>
      <c r="I73" s="33">
        <v>2.2999999999999998</v>
      </c>
      <c r="J73" s="13"/>
      <c r="K73" s="33"/>
      <c r="L73" s="33"/>
      <c r="M73" s="33"/>
    </row>
    <row r="74" spans="1:13" x14ac:dyDescent="0.3">
      <c r="A74" s="32" t="s">
        <v>184</v>
      </c>
      <c r="B74" s="33">
        <v>-0.93</v>
      </c>
      <c r="C74" s="33">
        <v>266.25</v>
      </c>
      <c r="D74" s="33">
        <v>0</v>
      </c>
      <c r="E74" s="33">
        <v>1</v>
      </c>
      <c r="F74" s="33">
        <v>-0.42</v>
      </c>
      <c r="G74" s="33">
        <v>2</v>
      </c>
      <c r="H74" s="33">
        <v>1.88</v>
      </c>
      <c r="I74" s="33">
        <v>724</v>
      </c>
      <c r="J74" s="13"/>
      <c r="K74" s="33"/>
      <c r="L74" s="33"/>
      <c r="M74" s="33"/>
    </row>
    <row r="75" spans="1:13" x14ac:dyDescent="0.3">
      <c r="A75" s="32" t="s">
        <v>187</v>
      </c>
      <c r="B75" s="33">
        <v>1.1100000000000001</v>
      </c>
      <c r="C75" s="33">
        <v>299.11</v>
      </c>
      <c r="D75" s="33">
        <v>0</v>
      </c>
      <c r="E75" s="33">
        <v>1</v>
      </c>
      <c r="F75" s="33">
        <v>-0.08</v>
      </c>
      <c r="G75" s="33">
        <v>0</v>
      </c>
      <c r="H75" s="33">
        <v>1.68</v>
      </c>
      <c r="I75" s="33">
        <v>891</v>
      </c>
      <c r="J75" s="13"/>
      <c r="K75" s="33"/>
      <c r="L75" s="33"/>
      <c r="M75" s="33"/>
    </row>
    <row r="76" spans="1:13" x14ac:dyDescent="0.3">
      <c r="A76" s="32" t="s">
        <v>185</v>
      </c>
      <c r="B76" s="33">
        <v>1.7</v>
      </c>
      <c r="C76" s="33">
        <v>206.28</v>
      </c>
      <c r="D76" s="33">
        <v>0</v>
      </c>
      <c r="E76" s="33">
        <v>1</v>
      </c>
      <c r="F76" s="33">
        <v>-1.38</v>
      </c>
      <c r="G76" s="33">
        <v>1</v>
      </c>
      <c r="H76" s="35">
        <v>2</v>
      </c>
      <c r="I76" s="33">
        <v>427</v>
      </c>
      <c r="J76" s="13"/>
      <c r="K76" s="33"/>
      <c r="L76" s="33"/>
      <c r="M76" s="33"/>
    </row>
    <row r="77" spans="1:13" x14ac:dyDescent="0.3">
      <c r="A77" s="32" t="s">
        <v>186</v>
      </c>
      <c r="B77" s="33">
        <v>1.66</v>
      </c>
      <c r="C77" s="33">
        <v>152.13999999999999</v>
      </c>
      <c r="D77" s="33">
        <v>0</v>
      </c>
      <c r="E77" s="33">
        <v>0</v>
      </c>
      <c r="F77" s="33">
        <v>-1.27</v>
      </c>
      <c r="G77" s="33">
        <v>1</v>
      </c>
      <c r="H77" s="33">
        <v>1.26</v>
      </c>
      <c r="I77" s="33">
        <v>87.1</v>
      </c>
      <c r="J77" s="13"/>
      <c r="K77" s="33"/>
      <c r="L77" s="33"/>
      <c r="M77" s="33"/>
    </row>
    <row r="78" spans="1:13" x14ac:dyDescent="0.3">
      <c r="A78" s="32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</row>
  </sheetData>
  <mergeCells count="1">
    <mergeCell ref="A1:H2"/>
  </mergeCells>
  <conditionalFormatting sqref="H4:H26">
    <cfRule type="containsBlanks" dxfId="0" priority="1">
      <formula>LEN(TRIM(H4))=0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16651-C268-4EFA-9123-657FC6B66AB7}">
  <dimension ref="A1:P533"/>
  <sheetViews>
    <sheetView tabSelected="1" topLeftCell="A508" zoomScale="90" zoomScaleNormal="90" workbookViewId="0">
      <selection activeCell="B511" sqref="B511:B533"/>
    </sheetView>
  </sheetViews>
  <sheetFormatPr baseColWidth="10" defaultRowHeight="14.4" x14ac:dyDescent="0.3"/>
  <cols>
    <col min="1" max="1" width="12.44140625" bestFit="1" customWidth="1"/>
    <col min="12" max="12" width="21.5546875" bestFit="1" customWidth="1"/>
    <col min="13" max="13" width="17" bestFit="1" customWidth="1"/>
    <col min="16" max="16" width="18.5546875" style="10" bestFit="1" customWidth="1"/>
    <col min="17" max="17" width="30.88671875" bestFit="1" customWidth="1"/>
  </cols>
  <sheetData>
    <row r="1" spans="1:16" x14ac:dyDescent="0.3">
      <c r="A1" s="9"/>
      <c r="B1" s="9" t="s">
        <v>122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82</v>
      </c>
      <c r="I1" s="9" t="s">
        <v>83</v>
      </c>
      <c r="J1" s="9" t="s">
        <v>26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10" t="s">
        <v>135</v>
      </c>
    </row>
    <row r="2" spans="1:16" x14ac:dyDescent="0.3">
      <c r="A2" s="9"/>
      <c r="B2" s="37">
        <v>5.204119982655925</v>
      </c>
      <c r="C2" s="9" t="s">
        <v>29</v>
      </c>
      <c r="D2" s="37">
        <v>160000</v>
      </c>
      <c r="E2" s="9">
        <v>-0.54</v>
      </c>
      <c r="F2" s="9">
        <v>264.05</v>
      </c>
      <c r="G2" s="9">
        <v>0</v>
      </c>
      <c r="H2" s="9">
        <v>1</v>
      </c>
      <c r="I2" s="9">
        <v>-3.72</v>
      </c>
      <c r="J2" s="9">
        <v>0</v>
      </c>
      <c r="K2" s="9">
        <v>1.05</v>
      </c>
      <c r="L2" s="9">
        <v>2.4300000000000002</v>
      </c>
      <c r="M2" s="9"/>
      <c r="N2" s="9"/>
      <c r="O2" s="9"/>
      <c r="P2" s="10">
        <v>1</v>
      </c>
    </row>
    <row r="3" spans="1:16" x14ac:dyDescent="0.3">
      <c r="A3" s="9"/>
      <c r="B3" s="37">
        <v>5.9003671286564705</v>
      </c>
      <c r="C3" s="9" t="s">
        <v>30</v>
      </c>
      <c r="D3" s="37">
        <v>795000</v>
      </c>
      <c r="E3" s="9">
        <v>0.18</v>
      </c>
      <c r="F3" s="9">
        <v>314.05</v>
      </c>
      <c r="G3" s="9">
        <v>0</v>
      </c>
      <c r="H3" s="9">
        <v>1</v>
      </c>
      <c r="I3" s="9">
        <v>-4.59</v>
      </c>
      <c r="J3" s="9">
        <v>0</v>
      </c>
      <c r="K3" s="9">
        <v>1.22</v>
      </c>
      <c r="L3" s="9">
        <v>2.4500000000000002</v>
      </c>
      <c r="M3" s="9"/>
      <c r="N3" s="9"/>
      <c r="O3" s="9"/>
      <c r="P3" s="10">
        <v>1</v>
      </c>
    </row>
    <row r="4" spans="1:16" x14ac:dyDescent="0.3">
      <c r="A4" s="9"/>
      <c r="B4" s="37">
        <v>5.9493900066449124</v>
      </c>
      <c r="C4" s="9" t="s">
        <v>31</v>
      </c>
      <c r="D4" s="37">
        <v>890000</v>
      </c>
      <c r="E4" s="9">
        <v>0.88</v>
      </c>
      <c r="F4" s="9">
        <v>364.06</v>
      </c>
      <c r="G4" s="9">
        <v>0</v>
      </c>
      <c r="H4" s="9">
        <v>1</v>
      </c>
      <c r="I4" s="9">
        <v>-5.42</v>
      </c>
      <c r="J4" s="9">
        <v>0</v>
      </c>
      <c r="K4" s="9">
        <v>1.4</v>
      </c>
      <c r="L4" s="9">
        <v>3.77</v>
      </c>
      <c r="M4" s="9"/>
      <c r="N4" s="9"/>
      <c r="O4" s="9"/>
      <c r="P4" s="10">
        <v>1</v>
      </c>
    </row>
    <row r="5" spans="1:16" x14ac:dyDescent="0.3">
      <c r="A5" s="9"/>
      <c r="B5" s="37">
        <v>5.6998377258672459</v>
      </c>
      <c r="C5" s="9" t="s">
        <v>32</v>
      </c>
      <c r="D5" s="37">
        <v>501000</v>
      </c>
      <c r="E5" s="9">
        <v>-0.45</v>
      </c>
      <c r="F5" s="9">
        <v>249.09</v>
      </c>
      <c r="G5" s="9">
        <v>0</v>
      </c>
      <c r="H5" s="9">
        <v>1</v>
      </c>
      <c r="I5" s="9">
        <v>-2.48</v>
      </c>
      <c r="J5" s="9">
        <v>0</v>
      </c>
      <c r="K5" s="9">
        <v>0.995</v>
      </c>
      <c r="L5" s="9">
        <v>1.68</v>
      </c>
      <c r="M5" s="9"/>
      <c r="N5" s="9"/>
      <c r="O5" s="9"/>
      <c r="P5" s="10">
        <v>1</v>
      </c>
    </row>
    <row r="6" spans="1:16" x14ac:dyDescent="0.3">
      <c r="A6" s="9"/>
      <c r="B6" s="37">
        <v>5.8000293592441343</v>
      </c>
      <c r="C6" s="9" t="s">
        <v>2</v>
      </c>
      <c r="D6" s="37">
        <v>631000</v>
      </c>
      <c r="E6" s="9">
        <v>0.251</v>
      </c>
      <c r="F6" s="9">
        <v>299.10000000000002</v>
      </c>
      <c r="G6" s="9">
        <v>0</v>
      </c>
      <c r="H6" s="9">
        <v>1</v>
      </c>
      <c r="I6" s="9">
        <v>-3.36</v>
      </c>
      <c r="J6" s="9">
        <v>0</v>
      </c>
      <c r="K6" s="38">
        <v>1.1711</v>
      </c>
      <c r="L6" s="9">
        <v>2.25</v>
      </c>
      <c r="M6" s="9"/>
      <c r="N6" s="9"/>
      <c r="O6" s="9"/>
      <c r="P6" s="10">
        <v>1</v>
      </c>
    </row>
    <row r="7" spans="1:16" x14ac:dyDescent="0.3">
      <c r="A7" s="9"/>
      <c r="B7" s="37">
        <v>5.7497363155690611</v>
      </c>
      <c r="C7" s="9" t="s">
        <v>33</v>
      </c>
      <c r="D7" s="37">
        <v>562000</v>
      </c>
      <c r="E7" s="9">
        <v>0.95</v>
      </c>
      <c r="F7" s="9">
        <v>350.11</v>
      </c>
      <c r="G7" s="9">
        <v>0</v>
      </c>
      <c r="H7" s="9">
        <v>1</v>
      </c>
      <c r="I7" s="9">
        <v>-4.2</v>
      </c>
      <c r="J7" s="9">
        <v>0</v>
      </c>
      <c r="K7" s="9">
        <v>1.35</v>
      </c>
      <c r="L7" s="9">
        <v>3.01</v>
      </c>
      <c r="M7" s="9"/>
      <c r="N7" s="9"/>
      <c r="O7" s="9"/>
      <c r="P7" s="10">
        <v>1</v>
      </c>
    </row>
    <row r="8" spans="1:16" x14ac:dyDescent="0.3">
      <c r="A8" s="9"/>
      <c r="B8" s="37">
        <v>5.6998377258672459</v>
      </c>
      <c r="C8" s="9" t="s">
        <v>34</v>
      </c>
      <c r="D8" s="37">
        <v>501000</v>
      </c>
      <c r="E8" s="9">
        <v>1.65</v>
      </c>
      <c r="F8" s="9">
        <v>400.11</v>
      </c>
      <c r="G8" s="9">
        <v>0</v>
      </c>
      <c r="H8" s="9">
        <v>1</v>
      </c>
      <c r="I8" s="9">
        <v>-5</v>
      </c>
      <c r="J8" s="9">
        <v>0</v>
      </c>
      <c r="K8" s="9">
        <v>1.52</v>
      </c>
      <c r="L8" s="9">
        <v>3.3</v>
      </c>
      <c r="M8" s="9"/>
      <c r="N8" s="9"/>
      <c r="O8" s="9"/>
      <c r="P8" s="10">
        <v>1</v>
      </c>
    </row>
    <row r="9" spans="1:16" x14ac:dyDescent="0.3">
      <c r="A9" s="9"/>
      <c r="B9" s="37">
        <v>2.6532125137753435</v>
      </c>
      <c r="C9" s="9" t="s">
        <v>89</v>
      </c>
      <c r="D9" s="37">
        <v>450</v>
      </c>
      <c r="E9" s="9">
        <v>-3.8</v>
      </c>
      <c r="F9" s="9">
        <v>150.08000000000001</v>
      </c>
      <c r="G9" s="9">
        <v>0</v>
      </c>
      <c r="H9" s="9">
        <v>1</v>
      </c>
      <c r="I9" s="9">
        <v>-0.61</v>
      </c>
      <c r="J9" s="9">
        <v>0</v>
      </c>
      <c r="K9" s="9">
        <v>0.64200000000000002</v>
      </c>
      <c r="L9" s="9">
        <v>0.35199999999999998</v>
      </c>
      <c r="M9" s="9">
        <v>1140</v>
      </c>
      <c r="N9" s="9">
        <v>9.5</v>
      </c>
      <c r="O9" s="9"/>
      <c r="P9" s="10">
        <v>2</v>
      </c>
    </row>
    <row r="10" spans="1:16" x14ac:dyDescent="0.3">
      <c r="A10" s="9"/>
      <c r="B10" s="37">
        <v>2.8325089127062362</v>
      </c>
      <c r="C10" s="9" t="s">
        <v>89</v>
      </c>
      <c r="D10" s="37">
        <v>680</v>
      </c>
      <c r="E10" s="9">
        <v>-3.8</v>
      </c>
      <c r="F10" s="9">
        <v>150.08000000000001</v>
      </c>
      <c r="G10" s="9">
        <v>0</v>
      </c>
      <c r="H10" s="9">
        <v>1</v>
      </c>
      <c r="I10" s="9">
        <v>-0.61</v>
      </c>
      <c r="J10" s="9">
        <v>0</v>
      </c>
      <c r="K10" s="9">
        <v>0.64200000000000002</v>
      </c>
      <c r="L10" s="9">
        <v>0.35199999999999998</v>
      </c>
      <c r="M10" s="9">
        <v>1030</v>
      </c>
      <c r="N10" s="9">
        <v>8.1</v>
      </c>
      <c r="O10" s="9"/>
      <c r="P10" s="10">
        <v>2</v>
      </c>
    </row>
    <row r="11" spans="1:16" x14ac:dyDescent="0.3">
      <c r="A11" s="9"/>
      <c r="B11" s="37">
        <v>3.3521825181113627</v>
      </c>
      <c r="C11" s="9" t="s">
        <v>1</v>
      </c>
      <c r="D11" s="37">
        <v>2250</v>
      </c>
      <c r="E11" s="9">
        <v>-1.22</v>
      </c>
      <c r="F11" s="9">
        <v>214.03899999999999</v>
      </c>
      <c r="G11" s="9">
        <v>0</v>
      </c>
      <c r="H11" s="9">
        <v>1</v>
      </c>
      <c r="I11" s="9">
        <v>-2.82</v>
      </c>
      <c r="J11" s="9">
        <v>0</v>
      </c>
      <c r="K11" s="39">
        <v>0.87050000000000005</v>
      </c>
      <c r="L11" s="9">
        <v>1.81</v>
      </c>
      <c r="M11" s="9">
        <v>212</v>
      </c>
      <c r="N11" s="9"/>
      <c r="O11" s="9"/>
      <c r="P11" s="10">
        <v>3</v>
      </c>
    </row>
    <row r="12" spans="1:16" x14ac:dyDescent="0.3">
      <c r="A12" s="9"/>
      <c r="B12" s="37">
        <v>3.568201724066995</v>
      </c>
      <c r="C12" s="9" t="s">
        <v>29</v>
      </c>
      <c r="D12" s="37">
        <v>3700</v>
      </c>
      <c r="E12" s="9">
        <v>-0.54</v>
      </c>
      <c r="F12" s="9">
        <v>264.05</v>
      </c>
      <c r="G12" s="9">
        <v>0</v>
      </c>
      <c r="H12" s="9">
        <v>1</v>
      </c>
      <c r="I12" s="9">
        <v>-3.72</v>
      </c>
      <c r="J12" s="9">
        <v>0</v>
      </c>
      <c r="K12" s="9">
        <v>1.05</v>
      </c>
      <c r="L12" s="9">
        <v>2.4300000000000002</v>
      </c>
      <c r="M12" s="9">
        <v>212</v>
      </c>
      <c r="N12" s="9"/>
      <c r="O12" s="9"/>
      <c r="P12" s="10">
        <v>3</v>
      </c>
    </row>
    <row r="13" spans="1:16" x14ac:dyDescent="0.3">
      <c r="A13" s="9"/>
      <c r="B13" s="37">
        <v>3.7403626894942437</v>
      </c>
      <c r="C13" s="9" t="s">
        <v>30</v>
      </c>
      <c r="D13" s="37">
        <v>5500</v>
      </c>
      <c r="E13" s="9">
        <v>0.18</v>
      </c>
      <c r="F13" s="9">
        <v>314.05</v>
      </c>
      <c r="G13" s="9">
        <v>0</v>
      </c>
      <c r="H13" s="9">
        <v>1</v>
      </c>
      <c r="I13" s="9">
        <v>-4.59</v>
      </c>
      <c r="J13" s="9">
        <v>0</v>
      </c>
      <c r="K13" s="9">
        <v>1.22</v>
      </c>
      <c r="L13" s="9">
        <v>2.4500000000000002</v>
      </c>
      <c r="M13" s="9">
        <v>212</v>
      </c>
      <c r="N13" s="9"/>
      <c r="O13" s="9"/>
      <c r="P13" s="10">
        <v>3</v>
      </c>
    </row>
    <row r="14" spans="1:16" x14ac:dyDescent="0.3">
      <c r="A14" s="9"/>
      <c r="B14" s="37">
        <v>4.0569048513364727</v>
      </c>
      <c r="C14" s="9" t="s">
        <v>31</v>
      </c>
      <c r="D14" s="37">
        <v>11400</v>
      </c>
      <c r="E14" s="9">
        <v>0.88</v>
      </c>
      <c r="F14" s="9">
        <v>364.06</v>
      </c>
      <c r="G14" s="9">
        <v>0</v>
      </c>
      <c r="H14" s="9">
        <v>1</v>
      </c>
      <c r="I14" s="9">
        <v>-5.42</v>
      </c>
      <c r="J14" s="9">
        <v>0</v>
      </c>
      <c r="K14" s="9">
        <v>1.4</v>
      </c>
      <c r="L14" s="9">
        <v>3.77</v>
      </c>
      <c r="M14" s="9">
        <v>212</v>
      </c>
      <c r="N14" s="9"/>
      <c r="O14" s="9"/>
      <c r="P14" s="10">
        <v>3</v>
      </c>
    </row>
    <row r="15" spans="1:16" x14ac:dyDescent="0.3">
      <c r="A15" s="9"/>
      <c r="B15" s="37">
        <v>4.1139433523068369</v>
      </c>
      <c r="C15" s="9" t="s">
        <v>2</v>
      </c>
      <c r="D15" s="37">
        <v>13000</v>
      </c>
      <c r="E15" s="9">
        <v>0.251</v>
      </c>
      <c r="F15" s="9">
        <v>299.10000000000002</v>
      </c>
      <c r="G15" s="9">
        <v>0</v>
      </c>
      <c r="H15" s="9">
        <v>1</v>
      </c>
      <c r="I15" s="9">
        <v>-3.36</v>
      </c>
      <c r="J15" s="9">
        <v>0</v>
      </c>
      <c r="K15" s="38">
        <v>1.1711</v>
      </c>
      <c r="L15" s="9">
        <v>2.2599999999999998</v>
      </c>
      <c r="M15" s="9">
        <v>212</v>
      </c>
      <c r="N15" s="9"/>
      <c r="O15" s="9"/>
      <c r="P15" s="10">
        <v>3</v>
      </c>
    </row>
    <row r="16" spans="1:16" x14ac:dyDescent="0.3">
      <c r="A16" s="9"/>
      <c r="B16" s="37">
        <v>4.8808135922807914</v>
      </c>
      <c r="C16" s="9" t="s">
        <v>34</v>
      </c>
      <c r="D16" s="37">
        <v>76000</v>
      </c>
      <c r="E16" s="9">
        <v>1.65</v>
      </c>
      <c r="F16" s="9">
        <v>400.11</v>
      </c>
      <c r="G16" s="9">
        <v>0</v>
      </c>
      <c r="H16" s="9">
        <v>1</v>
      </c>
      <c r="I16" s="9">
        <v>-5</v>
      </c>
      <c r="J16" s="9">
        <v>0</v>
      </c>
      <c r="K16" s="9">
        <v>1.52</v>
      </c>
      <c r="L16" s="9">
        <v>3.3</v>
      </c>
      <c r="M16" s="9">
        <v>422</v>
      </c>
      <c r="N16" s="9"/>
      <c r="O16" s="9"/>
      <c r="P16" s="10">
        <v>3</v>
      </c>
    </row>
    <row r="17" spans="1:16" x14ac:dyDescent="0.3">
      <c r="A17" s="9"/>
      <c r="B17" s="37">
        <v>4.7255032688593159</v>
      </c>
      <c r="C17" s="9" t="s">
        <v>1</v>
      </c>
      <c r="D17" s="37">
        <v>53150</v>
      </c>
      <c r="E17" s="9">
        <v>-1.22</v>
      </c>
      <c r="F17" s="9">
        <v>214.03899999999999</v>
      </c>
      <c r="G17" s="9">
        <v>0</v>
      </c>
      <c r="H17" s="9">
        <v>1</v>
      </c>
      <c r="I17" s="9">
        <v>-2.82</v>
      </c>
      <c r="J17" s="9">
        <v>0</v>
      </c>
      <c r="K17" s="39">
        <v>0.87050000000000005</v>
      </c>
      <c r="L17" s="9">
        <v>1.81</v>
      </c>
      <c r="M17" s="9">
        <v>422</v>
      </c>
      <c r="N17" s="9"/>
      <c r="O17" s="9"/>
      <c r="P17" s="10">
        <v>3</v>
      </c>
    </row>
    <row r="18" spans="1:16" x14ac:dyDescent="0.3">
      <c r="A18" s="9"/>
      <c r="B18" s="37">
        <v>4.982271233039568</v>
      </c>
      <c r="C18" s="9" t="s">
        <v>29</v>
      </c>
      <c r="D18" s="37">
        <v>96000</v>
      </c>
      <c r="E18" s="9">
        <v>-0.54</v>
      </c>
      <c r="F18" s="9">
        <v>264.05</v>
      </c>
      <c r="G18" s="9">
        <v>0</v>
      </c>
      <c r="H18" s="9">
        <v>1</v>
      </c>
      <c r="I18" s="9">
        <v>-3.72</v>
      </c>
      <c r="J18" s="9">
        <v>0</v>
      </c>
      <c r="K18" s="9">
        <v>1.05</v>
      </c>
      <c r="L18" s="9">
        <v>2.4300000000000002</v>
      </c>
      <c r="M18" s="9">
        <v>422</v>
      </c>
      <c r="N18" s="9"/>
      <c r="O18" s="9"/>
      <c r="P18" s="10">
        <v>3</v>
      </c>
    </row>
    <row r="19" spans="1:16" x14ac:dyDescent="0.3">
      <c r="A19" s="9"/>
      <c r="B19" s="37">
        <v>5.143014800254095</v>
      </c>
      <c r="C19" s="9" t="s">
        <v>30</v>
      </c>
      <c r="D19" s="37">
        <v>139000</v>
      </c>
      <c r="E19" s="9">
        <v>0.18</v>
      </c>
      <c r="F19" s="9">
        <v>314.05</v>
      </c>
      <c r="G19" s="9">
        <v>0</v>
      </c>
      <c r="H19" s="9">
        <v>1</v>
      </c>
      <c r="I19" s="9">
        <v>-4.59</v>
      </c>
      <c r="J19" s="9">
        <v>0</v>
      </c>
      <c r="K19" s="9">
        <v>1.22</v>
      </c>
      <c r="L19" s="9">
        <v>2.4500000000000002</v>
      </c>
      <c r="M19" s="9">
        <v>422</v>
      </c>
      <c r="N19" s="9"/>
      <c r="O19" s="9"/>
      <c r="P19" s="10">
        <v>3</v>
      </c>
    </row>
    <row r="20" spans="1:16" x14ac:dyDescent="0.3">
      <c r="A20" s="9"/>
      <c r="B20" s="37">
        <v>5.2304489213782741</v>
      </c>
      <c r="C20" s="9" t="s">
        <v>31</v>
      </c>
      <c r="D20" s="37">
        <v>170000</v>
      </c>
      <c r="E20" s="9">
        <v>0.88</v>
      </c>
      <c r="F20" s="9">
        <v>364.06</v>
      </c>
      <c r="G20" s="9">
        <v>0</v>
      </c>
      <c r="H20" s="9">
        <v>1</v>
      </c>
      <c r="I20" s="9">
        <v>-5.42</v>
      </c>
      <c r="J20" s="9">
        <v>0</v>
      </c>
      <c r="K20" s="9">
        <v>1.4</v>
      </c>
      <c r="L20" s="9">
        <v>3.77</v>
      </c>
      <c r="M20" s="9">
        <v>422</v>
      </c>
      <c r="N20" s="9"/>
      <c r="O20" s="9"/>
      <c r="P20" s="10">
        <v>3</v>
      </c>
    </row>
    <row r="21" spans="1:16" x14ac:dyDescent="0.3">
      <c r="A21" s="9"/>
      <c r="B21" s="37">
        <v>4.4014005407815437</v>
      </c>
      <c r="C21" s="9" t="s">
        <v>1</v>
      </c>
      <c r="D21" s="37">
        <v>25200</v>
      </c>
      <c r="E21" s="9">
        <v>-1.22</v>
      </c>
      <c r="F21" s="9">
        <v>214.03899999999999</v>
      </c>
      <c r="G21" s="9">
        <v>0</v>
      </c>
      <c r="H21" s="9">
        <v>1</v>
      </c>
      <c r="I21" s="9">
        <v>-2.82</v>
      </c>
      <c r="J21" s="9">
        <v>0</v>
      </c>
      <c r="K21" s="39">
        <v>0.87050000000000005</v>
      </c>
      <c r="L21" s="9">
        <v>1.81</v>
      </c>
      <c r="M21" s="9">
        <v>732</v>
      </c>
      <c r="N21" s="9"/>
      <c r="O21" s="9"/>
      <c r="P21" s="10">
        <v>3</v>
      </c>
    </row>
    <row r="22" spans="1:16" x14ac:dyDescent="0.3">
      <c r="A22" s="9"/>
      <c r="B22" s="37">
        <v>4.8808135922807914</v>
      </c>
      <c r="C22" s="9" t="s">
        <v>29</v>
      </c>
      <c r="D22" s="37">
        <v>76000</v>
      </c>
      <c r="E22" s="9">
        <v>-0.54</v>
      </c>
      <c r="F22" s="9">
        <v>264.05</v>
      </c>
      <c r="G22" s="9">
        <v>0</v>
      </c>
      <c r="H22" s="9">
        <v>1</v>
      </c>
      <c r="I22" s="9">
        <v>-3.72</v>
      </c>
      <c r="J22" s="9">
        <v>0</v>
      </c>
      <c r="K22" s="9">
        <v>1.05</v>
      </c>
      <c r="L22" s="9">
        <v>2.4300000000000002</v>
      </c>
      <c r="M22" s="9">
        <v>732</v>
      </c>
      <c r="N22" s="9"/>
      <c r="O22" s="9"/>
      <c r="P22" s="10">
        <v>3</v>
      </c>
    </row>
    <row r="23" spans="1:16" x14ac:dyDescent="0.3">
      <c r="A23" s="9"/>
      <c r="B23" s="37">
        <v>4.982271233039568</v>
      </c>
      <c r="C23" s="9" t="s">
        <v>30</v>
      </c>
      <c r="D23" s="37">
        <v>96000</v>
      </c>
      <c r="E23" s="9">
        <v>0.18</v>
      </c>
      <c r="F23" s="9">
        <v>314.05</v>
      </c>
      <c r="G23" s="9">
        <v>0</v>
      </c>
      <c r="H23" s="9">
        <v>1</v>
      </c>
      <c r="I23" s="9">
        <v>-4.59</v>
      </c>
      <c r="J23" s="9">
        <v>0</v>
      </c>
      <c r="K23" s="9">
        <v>1.22</v>
      </c>
      <c r="L23" s="9">
        <v>2.4500000000000002</v>
      </c>
      <c r="M23" s="9">
        <v>732</v>
      </c>
      <c r="N23" s="9"/>
      <c r="O23" s="9"/>
      <c r="P23" s="10">
        <v>3</v>
      </c>
    </row>
    <row r="24" spans="1:16" x14ac:dyDescent="0.3">
      <c r="A24" s="9"/>
      <c r="B24" s="37">
        <v>5.1105897102992488</v>
      </c>
      <c r="C24" s="9" t="s">
        <v>31</v>
      </c>
      <c r="D24" s="37">
        <v>129000</v>
      </c>
      <c r="E24" s="9">
        <v>0.88</v>
      </c>
      <c r="F24" s="9">
        <v>364.06</v>
      </c>
      <c r="G24" s="9">
        <v>0</v>
      </c>
      <c r="H24" s="9">
        <v>1</v>
      </c>
      <c r="I24" s="9">
        <v>-5.42</v>
      </c>
      <c r="J24" s="9">
        <v>0</v>
      </c>
      <c r="K24" s="9">
        <v>1.4</v>
      </c>
      <c r="L24" s="9">
        <v>3.77</v>
      </c>
      <c r="M24" s="9">
        <v>732</v>
      </c>
      <c r="N24" s="9"/>
      <c r="O24" s="9"/>
      <c r="P24" s="10">
        <v>3</v>
      </c>
    </row>
    <row r="25" spans="1:16" x14ac:dyDescent="0.3">
      <c r="A25" s="9"/>
      <c r="B25" s="37">
        <v>5.0681858617461613</v>
      </c>
      <c r="C25" s="9" t="s">
        <v>2</v>
      </c>
      <c r="D25" s="37">
        <v>117000</v>
      </c>
      <c r="E25" s="9">
        <v>0.251</v>
      </c>
      <c r="F25" s="9">
        <v>299.10000000000002</v>
      </c>
      <c r="G25" s="9">
        <v>0</v>
      </c>
      <c r="H25" s="9">
        <v>1</v>
      </c>
      <c r="I25" s="9">
        <v>-3.36</v>
      </c>
      <c r="J25" s="9">
        <v>0</v>
      </c>
      <c r="K25" s="38">
        <v>1.1711</v>
      </c>
      <c r="L25" s="9">
        <v>2.2599999999999998</v>
      </c>
      <c r="M25" s="9">
        <v>732</v>
      </c>
      <c r="N25" s="9"/>
      <c r="O25" s="9"/>
      <c r="P25" s="10">
        <v>3</v>
      </c>
    </row>
    <row r="26" spans="1:16" x14ac:dyDescent="0.3">
      <c r="A26" s="9"/>
      <c r="B26" s="37">
        <v>4.845718017966659</v>
      </c>
      <c r="C26" s="9" t="s">
        <v>34</v>
      </c>
      <c r="D26" s="37">
        <v>70100</v>
      </c>
      <c r="E26" s="9">
        <v>1.65</v>
      </c>
      <c r="F26" s="9">
        <v>400.11</v>
      </c>
      <c r="G26" s="9">
        <v>0</v>
      </c>
      <c r="H26" s="9">
        <v>1</v>
      </c>
      <c r="I26" s="9">
        <v>-5</v>
      </c>
      <c r="J26" s="9">
        <v>0</v>
      </c>
      <c r="K26" s="9">
        <v>1.52</v>
      </c>
      <c r="L26" s="9">
        <v>3.3</v>
      </c>
      <c r="M26" s="9">
        <v>732</v>
      </c>
      <c r="N26" s="9"/>
      <c r="O26" s="9"/>
      <c r="P26" s="10">
        <v>3</v>
      </c>
    </row>
    <row r="27" spans="1:16" x14ac:dyDescent="0.3">
      <c r="A27" s="9"/>
      <c r="B27" s="37">
        <v>4.5910646070264995</v>
      </c>
      <c r="C27" s="9" t="s">
        <v>1</v>
      </c>
      <c r="D27" s="37">
        <v>39000</v>
      </c>
      <c r="E27" s="9">
        <v>-1.22</v>
      </c>
      <c r="F27" s="9">
        <v>214.03899999999999</v>
      </c>
      <c r="G27" s="9">
        <v>0</v>
      </c>
      <c r="H27" s="9">
        <v>1</v>
      </c>
      <c r="I27" s="9">
        <v>-2.82</v>
      </c>
      <c r="J27" s="9">
        <v>0</v>
      </c>
      <c r="K27" s="39">
        <v>0.87050000000000005</v>
      </c>
      <c r="L27" s="9">
        <v>1.81</v>
      </c>
      <c r="M27" s="9">
        <v>820</v>
      </c>
      <c r="N27" s="9"/>
      <c r="O27" s="9"/>
      <c r="P27" s="10">
        <v>4</v>
      </c>
    </row>
    <row r="28" spans="1:16" x14ac:dyDescent="0.3">
      <c r="A28" s="9"/>
      <c r="B28" s="37">
        <v>4.6117233080073419</v>
      </c>
      <c r="C28" s="9" t="s">
        <v>29</v>
      </c>
      <c r="D28" s="37">
        <v>40900</v>
      </c>
      <c r="E28" s="9">
        <v>-0.54</v>
      </c>
      <c r="F28" s="9">
        <v>264.05</v>
      </c>
      <c r="G28" s="9">
        <v>0</v>
      </c>
      <c r="H28" s="9">
        <v>1</v>
      </c>
      <c r="I28" s="9">
        <v>-3.72</v>
      </c>
      <c r="J28" s="9">
        <v>0</v>
      </c>
      <c r="K28" s="9">
        <v>1.05</v>
      </c>
      <c r="L28" s="9">
        <v>2.4300000000000002</v>
      </c>
      <c r="M28" s="9">
        <v>820</v>
      </c>
      <c r="N28" s="9"/>
      <c r="O28" s="9"/>
      <c r="P28" s="10">
        <v>4</v>
      </c>
    </row>
    <row r="29" spans="1:16" x14ac:dyDescent="0.3">
      <c r="A29" s="9"/>
      <c r="B29" s="37">
        <v>5.3242824552976931</v>
      </c>
      <c r="C29" s="9" t="s">
        <v>30</v>
      </c>
      <c r="D29" s="37">
        <v>211000</v>
      </c>
      <c r="E29" s="9">
        <v>0.18</v>
      </c>
      <c r="F29" s="9">
        <v>314.05</v>
      </c>
      <c r="G29" s="9">
        <v>0</v>
      </c>
      <c r="H29" s="9">
        <v>1</v>
      </c>
      <c r="I29" s="9">
        <v>-4.59</v>
      </c>
      <c r="J29" s="9">
        <v>0</v>
      </c>
      <c r="K29" s="9">
        <v>1.22</v>
      </c>
      <c r="L29" s="9">
        <v>2.4500000000000002</v>
      </c>
      <c r="M29" s="9">
        <v>820</v>
      </c>
      <c r="N29" s="9"/>
      <c r="O29" s="9"/>
      <c r="P29" s="10">
        <v>4</v>
      </c>
    </row>
    <row r="30" spans="1:16" x14ac:dyDescent="0.3">
      <c r="A30" s="9"/>
      <c r="B30" s="37">
        <v>5.9472866446777983</v>
      </c>
      <c r="C30" s="9" t="s">
        <v>31</v>
      </c>
      <c r="D30" s="37">
        <v>885700</v>
      </c>
      <c r="E30" s="9">
        <v>0.88</v>
      </c>
      <c r="F30" s="9">
        <v>364.06</v>
      </c>
      <c r="G30" s="9">
        <v>0</v>
      </c>
      <c r="H30" s="9">
        <v>1</v>
      </c>
      <c r="I30" s="9">
        <v>-5.42</v>
      </c>
      <c r="J30" s="9">
        <v>0</v>
      </c>
      <c r="K30" s="9">
        <v>1.4</v>
      </c>
      <c r="L30" s="9">
        <v>3.77</v>
      </c>
      <c r="M30" s="9">
        <v>820</v>
      </c>
      <c r="N30" s="9"/>
      <c r="O30" s="9"/>
      <c r="P30" s="10">
        <v>4</v>
      </c>
    </row>
    <row r="31" spans="1:16" x14ac:dyDescent="0.3">
      <c r="A31" s="9"/>
      <c r="B31" s="37">
        <v>3.3909351071033793</v>
      </c>
      <c r="C31" s="9" t="s">
        <v>1</v>
      </c>
      <c r="D31" s="37">
        <v>2460</v>
      </c>
      <c r="E31" s="9">
        <v>-1.22</v>
      </c>
      <c r="F31" s="9">
        <v>214.03899999999999</v>
      </c>
      <c r="G31" s="9">
        <v>0</v>
      </c>
      <c r="H31" s="9">
        <v>1</v>
      </c>
      <c r="I31" s="9">
        <v>-2.82</v>
      </c>
      <c r="J31" s="9">
        <v>0</v>
      </c>
      <c r="K31" s="39">
        <v>0.87050000000000005</v>
      </c>
      <c r="L31" s="9">
        <v>1.81</v>
      </c>
      <c r="M31" s="9">
        <v>900</v>
      </c>
      <c r="N31" s="9"/>
      <c r="O31" s="9"/>
      <c r="P31" s="10">
        <v>4</v>
      </c>
    </row>
    <row r="32" spans="1:16" x14ac:dyDescent="0.3">
      <c r="A32" s="9"/>
      <c r="B32" s="37">
        <v>4.2552725051033065</v>
      </c>
      <c r="C32" s="9" t="s">
        <v>29</v>
      </c>
      <c r="D32" s="37">
        <v>18000</v>
      </c>
      <c r="E32" s="9">
        <v>-0.54</v>
      </c>
      <c r="F32" s="9">
        <v>264.05</v>
      </c>
      <c r="G32" s="9">
        <v>0</v>
      </c>
      <c r="H32" s="9">
        <v>1</v>
      </c>
      <c r="I32" s="9">
        <v>-3.72</v>
      </c>
      <c r="J32" s="9">
        <v>0</v>
      </c>
      <c r="K32" s="9">
        <v>1.05</v>
      </c>
      <c r="L32" s="9">
        <v>2.4300000000000002</v>
      </c>
      <c r="M32" s="9">
        <v>900</v>
      </c>
      <c r="N32" s="9"/>
      <c r="O32" s="9"/>
      <c r="P32" s="10">
        <v>4</v>
      </c>
    </row>
    <row r="33" spans="1:16" x14ac:dyDescent="0.3">
      <c r="A33" s="9"/>
      <c r="B33" s="37">
        <v>4.7634279935629369</v>
      </c>
      <c r="C33" s="9" t="s">
        <v>30</v>
      </c>
      <c r="D33" s="37">
        <v>58000</v>
      </c>
      <c r="E33" s="9">
        <v>0.18</v>
      </c>
      <c r="F33" s="9">
        <v>314.05</v>
      </c>
      <c r="G33" s="9">
        <v>0</v>
      </c>
      <c r="H33" s="9">
        <v>1</v>
      </c>
      <c r="I33" s="9">
        <v>-4.59</v>
      </c>
      <c r="J33" s="9">
        <v>0</v>
      </c>
      <c r="K33" s="9">
        <v>1.22</v>
      </c>
      <c r="L33" s="9">
        <v>2.4500000000000002</v>
      </c>
      <c r="M33" s="9">
        <v>900</v>
      </c>
      <c r="N33" s="9"/>
      <c r="O33" s="9"/>
      <c r="P33" s="10">
        <v>4</v>
      </c>
    </row>
    <row r="34" spans="1:16" x14ac:dyDescent="0.3">
      <c r="A34" s="9"/>
      <c r="B34" s="37">
        <v>4.982271233039568</v>
      </c>
      <c r="C34" s="9" t="s">
        <v>31</v>
      </c>
      <c r="D34" s="37">
        <v>96000</v>
      </c>
      <c r="E34" s="9">
        <v>0.88</v>
      </c>
      <c r="F34" s="9">
        <v>364.06</v>
      </c>
      <c r="G34" s="9">
        <v>0</v>
      </c>
      <c r="H34" s="9">
        <v>1</v>
      </c>
      <c r="I34" s="9">
        <v>-5.42</v>
      </c>
      <c r="J34" s="9">
        <v>0</v>
      </c>
      <c r="K34" s="9">
        <v>1.4</v>
      </c>
      <c r="L34" s="9">
        <v>3.77</v>
      </c>
      <c r="M34" s="9">
        <v>900</v>
      </c>
      <c r="N34" s="9"/>
      <c r="O34" s="9"/>
      <c r="P34" s="10">
        <v>4</v>
      </c>
    </row>
    <row r="35" spans="1:16" x14ac:dyDescent="0.3">
      <c r="A35" s="9"/>
      <c r="B35" s="37">
        <v>4.826074802700826</v>
      </c>
      <c r="C35" s="9" t="s">
        <v>2</v>
      </c>
      <c r="D35" s="37">
        <v>67000</v>
      </c>
      <c r="E35" s="9">
        <v>0.251</v>
      </c>
      <c r="F35" s="9">
        <v>299.10000000000002</v>
      </c>
      <c r="G35" s="9">
        <v>0</v>
      </c>
      <c r="H35" s="9">
        <v>1</v>
      </c>
      <c r="I35" s="9">
        <v>-3.36</v>
      </c>
      <c r="J35" s="9">
        <v>0</v>
      </c>
      <c r="K35" s="38">
        <v>1.1711</v>
      </c>
      <c r="L35" s="9">
        <v>2.2599999999999998</v>
      </c>
      <c r="M35" s="9">
        <v>900</v>
      </c>
      <c r="N35" s="9"/>
      <c r="O35" s="9"/>
      <c r="P35" s="10">
        <v>4</v>
      </c>
    </row>
    <row r="36" spans="1:16" x14ac:dyDescent="0.3">
      <c r="A36" s="9"/>
      <c r="B36" s="37">
        <v>4.982271233039568</v>
      </c>
      <c r="C36" s="9" t="s">
        <v>34</v>
      </c>
      <c r="D36" s="37">
        <v>96000</v>
      </c>
      <c r="E36" s="9">
        <v>1.65</v>
      </c>
      <c r="F36" s="9">
        <v>400.11</v>
      </c>
      <c r="G36" s="9">
        <v>0</v>
      </c>
      <c r="H36" s="9">
        <v>1</v>
      </c>
      <c r="I36" s="9">
        <v>-5</v>
      </c>
      <c r="J36" s="9">
        <v>0</v>
      </c>
      <c r="K36" s="9">
        <v>1.52</v>
      </c>
      <c r="L36" s="9">
        <v>3.3</v>
      </c>
      <c r="M36" s="9">
        <v>900</v>
      </c>
      <c r="N36" s="9"/>
      <c r="O36" s="9"/>
      <c r="P36" s="10">
        <v>4</v>
      </c>
    </row>
    <row r="37" spans="1:16" x14ac:dyDescent="0.3">
      <c r="A37" s="8"/>
      <c r="B37" s="37">
        <v>5.0413926851582254</v>
      </c>
      <c r="C37" s="9" t="s">
        <v>34</v>
      </c>
      <c r="D37" s="37">
        <v>110000</v>
      </c>
      <c r="E37" s="9">
        <v>1.65</v>
      </c>
      <c r="F37" s="9">
        <v>400.11</v>
      </c>
      <c r="G37" s="9">
        <v>0</v>
      </c>
      <c r="H37" s="9">
        <v>1</v>
      </c>
      <c r="I37" s="9">
        <v>-5</v>
      </c>
      <c r="J37" s="9">
        <v>0</v>
      </c>
      <c r="K37" s="9">
        <v>1.52</v>
      </c>
      <c r="L37" s="9">
        <v>3.3</v>
      </c>
      <c r="M37" s="9">
        <v>752</v>
      </c>
      <c r="N37" s="9">
        <v>7.95</v>
      </c>
      <c r="O37" s="9"/>
      <c r="P37" s="41">
        <v>5</v>
      </c>
    </row>
    <row r="38" spans="1:16" x14ac:dyDescent="0.3">
      <c r="A38" s="8"/>
      <c r="B38" s="37">
        <v>4.5892680394627225</v>
      </c>
      <c r="C38" s="9" t="s">
        <v>34</v>
      </c>
      <c r="D38" s="37">
        <v>38839</v>
      </c>
      <c r="E38" s="9">
        <v>1.65</v>
      </c>
      <c r="F38" s="9">
        <v>400.11</v>
      </c>
      <c r="G38" s="9">
        <v>0</v>
      </c>
      <c r="H38" s="9">
        <v>1</v>
      </c>
      <c r="I38" s="9">
        <v>-5</v>
      </c>
      <c r="J38" s="9">
        <v>0</v>
      </c>
      <c r="K38" s="9">
        <v>1.52</v>
      </c>
      <c r="L38" s="9">
        <v>3.3</v>
      </c>
      <c r="M38" s="9">
        <v>1000</v>
      </c>
      <c r="N38" s="9"/>
      <c r="O38" s="9"/>
      <c r="P38" s="41">
        <v>6</v>
      </c>
    </row>
    <row r="39" spans="1:16" x14ac:dyDescent="0.3">
      <c r="A39" s="8"/>
      <c r="B39" s="37">
        <v>3.716003343634799</v>
      </c>
      <c r="C39" s="9" t="s">
        <v>1</v>
      </c>
      <c r="D39" s="37">
        <v>5200</v>
      </c>
      <c r="E39" s="9">
        <v>-1.22</v>
      </c>
      <c r="F39" s="9">
        <v>214.03899999999999</v>
      </c>
      <c r="G39" s="9">
        <v>0</v>
      </c>
      <c r="H39" s="9">
        <v>1</v>
      </c>
      <c r="I39" s="9">
        <v>-2.82</v>
      </c>
      <c r="J39" s="9">
        <v>0</v>
      </c>
      <c r="K39" s="39">
        <v>0.87050000000000005</v>
      </c>
      <c r="L39" s="9">
        <v>1.81</v>
      </c>
      <c r="M39" s="9">
        <v>1120</v>
      </c>
      <c r="N39" s="9"/>
      <c r="O39" s="9"/>
      <c r="P39" s="41">
        <v>7</v>
      </c>
    </row>
    <row r="40" spans="1:16" x14ac:dyDescent="0.3">
      <c r="A40" s="8"/>
      <c r="B40" s="37">
        <v>4.1309766916056168</v>
      </c>
      <c r="C40" s="9" t="s">
        <v>2</v>
      </c>
      <c r="D40" s="37">
        <v>13520</v>
      </c>
      <c r="E40" s="9">
        <v>0.251</v>
      </c>
      <c r="F40" s="9">
        <v>299.10000000000002</v>
      </c>
      <c r="G40" s="9">
        <v>0</v>
      </c>
      <c r="H40" s="9">
        <v>1</v>
      </c>
      <c r="I40" s="9">
        <v>-3.36</v>
      </c>
      <c r="J40" s="9">
        <v>0</v>
      </c>
      <c r="K40" s="38">
        <v>1.1711</v>
      </c>
      <c r="L40" s="9">
        <v>2.2599999999999998</v>
      </c>
      <c r="M40" s="9">
        <v>1120</v>
      </c>
      <c r="N40" s="9"/>
      <c r="O40" s="9"/>
      <c r="P40" s="41">
        <v>7</v>
      </c>
    </row>
    <row r="41" spans="1:16" x14ac:dyDescent="0.3">
      <c r="A41" s="8"/>
      <c r="B41" s="37">
        <v>4.0064660422492313</v>
      </c>
      <c r="C41" s="9" t="s">
        <v>30</v>
      </c>
      <c r="D41" s="37">
        <v>10150</v>
      </c>
      <c r="E41" s="9">
        <v>0.18</v>
      </c>
      <c r="F41" s="9">
        <v>314.05</v>
      </c>
      <c r="G41" s="9">
        <v>0</v>
      </c>
      <c r="H41" s="9">
        <v>1</v>
      </c>
      <c r="I41" s="9">
        <v>-4.59</v>
      </c>
      <c r="J41" s="9">
        <v>0</v>
      </c>
      <c r="K41" s="9">
        <v>1.22</v>
      </c>
      <c r="L41" s="9">
        <v>2.4500000000000002</v>
      </c>
      <c r="M41" s="9">
        <v>1120</v>
      </c>
      <c r="N41" s="9"/>
      <c r="O41" s="9"/>
      <c r="P41" s="41">
        <v>7</v>
      </c>
    </row>
    <row r="42" spans="1:16" x14ac:dyDescent="0.3">
      <c r="A42" s="8"/>
      <c r="B42" s="37">
        <v>4.2487087356009177</v>
      </c>
      <c r="C42" s="9" t="s">
        <v>34</v>
      </c>
      <c r="D42" s="37">
        <v>17730</v>
      </c>
      <c r="E42" s="9">
        <v>1.65</v>
      </c>
      <c r="F42" s="9">
        <v>400.11</v>
      </c>
      <c r="G42" s="9">
        <v>0</v>
      </c>
      <c r="H42" s="9">
        <v>1</v>
      </c>
      <c r="I42" s="9">
        <v>-5</v>
      </c>
      <c r="J42" s="9">
        <v>0</v>
      </c>
      <c r="K42" s="9">
        <v>1.52</v>
      </c>
      <c r="L42" s="9">
        <v>3.3</v>
      </c>
      <c r="M42" s="9">
        <v>1120</v>
      </c>
      <c r="N42" s="9"/>
      <c r="O42" s="9"/>
      <c r="P42" s="41">
        <v>7</v>
      </c>
    </row>
    <row r="43" spans="1:16" x14ac:dyDescent="0.3">
      <c r="A43" s="8"/>
      <c r="B43" s="37">
        <v>4.5642635341034703</v>
      </c>
      <c r="C43" s="9" t="s">
        <v>1</v>
      </c>
      <c r="D43" s="37">
        <v>36666</v>
      </c>
      <c r="E43" s="9">
        <v>-1.22</v>
      </c>
      <c r="F43" s="9">
        <v>214.03899999999999</v>
      </c>
      <c r="G43" s="9">
        <v>0</v>
      </c>
      <c r="H43" s="9">
        <v>1</v>
      </c>
      <c r="I43" s="9">
        <v>-2.82</v>
      </c>
      <c r="J43" s="9">
        <v>0</v>
      </c>
      <c r="K43" s="39">
        <v>0.87050000000000005</v>
      </c>
      <c r="L43" s="9">
        <v>1.81</v>
      </c>
      <c r="M43" s="9">
        <v>730</v>
      </c>
      <c r="N43" s="9"/>
      <c r="O43" s="9"/>
      <c r="P43" s="41">
        <v>7</v>
      </c>
    </row>
    <row r="44" spans="1:16" x14ac:dyDescent="0.3">
      <c r="A44" s="8"/>
      <c r="B44" s="37">
        <v>4.6296032553364901</v>
      </c>
      <c r="C44" s="9" t="s">
        <v>2</v>
      </c>
      <c r="D44" s="37">
        <v>42619</v>
      </c>
      <c r="E44" s="9">
        <v>0.251</v>
      </c>
      <c r="F44" s="9">
        <v>299.10000000000002</v>
      </c>
      <c r="G44" s="9">
        <v>0</v>
      </c>
      <c r="H44" s="9">
        <v>1</v>
      </c>
      <c r="I44" s="9">
        <v>-3.36</v>
      </c>
      <c r="J44" s="9">
        <v>0</v>
      </c>
      <c r="K44" s="38">
        <v>1.1711</v>
      </c>
      <c r="L44" s="9">
        <v>2.2599999999999998</v>
      </c>
      <c r="M44" s="9">
        <v>730</v>
      </c>
      <c r="N44" s="9"/>
      <c r="O44" s="9"/>
      <c r="P44" s="41">
        <v>7</v>
      </c>
    </row>
    <row r="45" spans="1:16" x14ac:dyDescent="0.3">
      <c r="A45" s="8"/>
      <c r="B45" s="37">
        <v>4.6778988173026494</v>
      </c>
      <c r="C45" s="9" t="s">
        <v>30</v>
      </c>
      <c r="D45" s="37">
        <v>47632</v>
      </c>
      <c r="E45" s="9">
        <v>0.18</v>
      </c>
      <c r="F45" s="9">
        <v>314.05</v>
      </c>
      <c r="G45" s="9">
        <v>0</v>
      </c>
      <c r="H45" s="9">
        <v>1</v>
      </c>
      <c r="I45" s="9">
        <v>-4.59</v>
      </c>
      <c r="J45" s="9">
        <v>0</v>
      </c>
      <c r="K45" s="9">
        <v>1.22</v>
      </c>
      <c r="L45" s="9">
        <v>2.4500000000000002</v>
      </c>
      <c r="M45" s="9">
        <v>730</v>
      </c>
      <c r="N45" s="9"/>
      <c r="O45" s="9"/>
      <c r="P45" s="41">
        <v>7</v>
      </c>
    </row>
    <row r="46" spans="1:16" x14ac:dyDescent="0.3">
      <c r="A46" s="8"/>
      <c r="B46" s="37">
        <v>4.6389283213090176</v>
      </c>
      <c r="C46" s="9" t="s">
        <v>34</v>
      </c>
      <c r="D46" s="37">
        <v>43544</v>
      </c>
      <c r="E46" s="9">
        <v>1.65</v>
      </c>
      <c r="F46" s="9">
        <v>400.11</v>
      </c>
      <c r="G46" s="9">
        <v>0</v>
      </c>
      <c r="H46" s="9">
        <v>1</v>
      </c>
      <c r="I46" s="9">
        <v>-5</v>
      </c>
      <c r="J46" s="9">
        <v>0</v>
      </c>
      <c r="K46" s="9">
        <v>1.52</v>
      </c>
      <c r="L46" s="9">
        <v>3.3</v>
      </c>
      <c r="M46" s="9">
        <v>730</v>
      </c>
      <c r="N46" s="9"/>
      <c r="O46" s="9"/>
      <c r="P46" s="41">
        <v>7</v>
      </c>
    </row>
    <row r="47" spans="1:16" x14ac:dyDescent="0.3">
      <c r="A47" s="8"/>
      <c r="B47" s="37">
        <v>4.20002926655377</v>
      </c>
      <c r="C47" s="9" t="s">
        <v>30</v>
      </c>
      <c r="D47" s="37">
        <v>15850</v>
      </c>
      <c r="E47" s="9">
        <v>0.18</v>
      </c>
      <c r="F47" s="9">
        <v>314.05</v>
      </c>
      <c r="G47" s="9">
        <v>0</v>
      </c>
      <c r="H47" s="9">
        <v>1</v>
      </c>
      <c r="I47" s="9">
        <v>-4.59</v>
      </c>
      <c r="J47" s="9">
        <v>0</v>
      </c>
      <c r="K47" s="9">
        <v>1.22</v>
      </c>
      <c r="L47" s="9">
        <v>2.4500000000000002</v>
      </c>
      <c r="M47" s="9">
        <v>726</v>
      </c>
      <c r="N47" s="9">
        <v>9.6</v>
      </c>
      <c r="O47" s="9"/>
      <c r="P47" s="41">
        <v>8</v>
      </c>
    </row>
    <row r="48" spans="1:16" x14ac:dyDescent="0.3">
      <c r="A48" s="8"/>
      <c r="B48" s="37">
        <v>3.8512583487190755</v>
      </c>
      <c r="C48" s="9" t="s">
        <v>29</v>
      </c>
      <c r="D48" s="37">
        <v>7100</v>
      </c>
      <c r="E48" s="9">
        <v>-0.54</v>
      </c>
      <c r="F48" s="9">
        <v>264.05</v>
      </c>
      <c r="G48" s="9">
        <v>0</v>
      </c>
      <c r="H48" s="9">
        <v>1</v>
      </c>
      <c r="I48" s="9">
        <v>-3.72</v>
      </c>
      <c r="J48" s="9">
        <v>0</v>
      </c>
      <c r="K48" s="9">
        <v>1.05</v>
      </c>
      <c r="L48" s="9">
        <v>2.4300000000000002</v>
      </c>
      <c r="M48" s="9">
        <v>726</v>
      </c>
      <c r="N48" s="9">
        <v>9.6</v>
      </c>
      <c r="O48" s="9"/>
      <c r="P48" s="41">
        <v>8</v>
      </c>
    </row>
    <row r="49" spans="1:16" x14ac:dyDescent="0.3">
      <c r="A49" s="8"/>
      <c r="B49" s="37">
        <v>4.6200318951262975</v>
      </c>
      <c r="C49" s="9" t="s">
        <v>2</v>
      </c>
      <c r="D49" s="37">
        <v>41690</v>
      </c>
      <c r="E49" s="9">
        <v>0.251</v>
      </c>
      <c r="F49" s="9">
        <v>299.10000000000002</v>
      </c>
      <c r="G49" s="9">
        <v>0</v>
      </c>
      <c r="H49" s="9">
        <v>1</v>
      </c>
      <c r="I49" s="9">
        <v>-3.36</v>
      </c>
      <c r="J49" s="9">
        <v>0</v>
      </c>
      <c r="K49" s="38">
        <v>1.1711</v>
      </c>
      <c r="L49" s="9">
        <v>2.2599999999999998</v>
      </c>
      <c r="M49" s="9">
        <v>726</v>
      </c>
      <c r="N49" s="9">
        <v>9.6</v>
      </c>
      <c r="O49" s="9"/>
      <c r="P49" s="41">
        <v>8</v>
      </c>
    </row>
    <row r="50" spans="1:16" x14ac:dyDescent="0.3">
      <c r="A50" s="8"/>
      <c r="B50" s="37">
        <v>4.7000110623221127</v>
      </c>
      <c r="C50" s="9" t="s">
        <v>34</v>
      </c>
      <c r="D50" s="37">
        <v>50120</v>
      </c>
      <c r="E50" s="9">
        <v>1.65</v>
      </c>
      <c r="F50" s="9">
        <v>400.11</v>
      </c>
      <c r="G50" s="9">
        <v>0</v>
      </c>
      <c r="H50" s="9">
        <v>1</v>
      </c>
      <c r="I50" s="9">
        <v>-5</v>
      </c>
      <c r="J50" s="9">
        <v>0</v>
      </c>
      <c r="K50" s="9">
        <v>1.52</v>
      </c>
      <c r="L50" s="9">
        <v>3.3</v>
      </c>
      <c r="M50" s="9">
        <v>726</v>
      </c>
      <c r="N50" s="9">
        <v>9.6</v>
      </c>
      <c r="O50" s="9"/>
      <c r="P50" s="41">
        <v>8</v>
      </c>
    </row>
    <row r="51" spans="1:16" x14ac:dyDescent="0.3">
      <c r="A51" s="8"/>
      <c r="B51" s="37">
        <v>4</v>
      </c>
      <c r="C51" s="9" t="s">
        <v>30</v>
      </c>
      <c r="D51" s="37">
        <v>10000</v>
      </c>
      <c r="E51" s="9">
        <v>0.18</v>
      </c>
      <c r="F51" s="9">
        <v>314.05</v>
      </c>
      <c r="G51" s="9">
        <v>0</v>
      </c>
      <c r="H51" s="9">
        <v>1</v>
      </c>
      <c r="I51" s="9">
        <v>-4.59</v>
      </c>
      <c r="J51" s="9">
        <v>0</v>
      </c>
      <c r="K51" s="9">
        <v>1.22</v>
      </c>
      <c r="L51" s="9">
        <v>2.4500000000000002</v>
      </c>
      <c r="M51" s="9">
        <v>726</v>
      </c>
      <c r="N51" s="9">
        <v>9.5</v>
      </c>
      <c r="O51" s="9"/>
      <c r="P51" s="41">
        <v>8</v>
      </c>
    </row>
    <row r="52" spans="1:16" x14ac:dyDescent="0.3">
      <c r="A52" s="8"/>
      <c r="B52" s="37">
        <v>3.9799578933406656</v>
      </c>
      <c r="C52" s="9" t="s">
        <v>90</v>
      </c>
      <c r="D52" s="37">
        <v>9549</v>
      </c>
      <c r="E52" s="9">
        <v>0.251</v>
      </c>
      <c r="F52" s="9">
        <v>299.10000000000002</v>
      </c>
      <c r="G52" s="9">
        <v>0</v>
      </c>
      <c r="H52" s="9">
        <v>1</v>
      </c>
      <c r="I52" s="9">
        <v>-3.36</v>
      </c>
      <c r="J52" s="9">
        <v>0</v>
      </c>
      <c r="K52" s="38">
        <v>1.1711</v>
      </c>
      <c r="L52" s="9">
        <v>2.2599999999999998</v>
      </c>
      <c r="M52" s="9">
        <v>726</v>
      </c>
      <c r="N52" s="9">
        <v>9.5</v>
      </c>
      <c r="O52" s="9"/>
      <c r="P52" s="41">
        <v>8</v>
      </c>
    </row>
    <row r="53" spans="1:16" x14ac:dyDescent="0.3">
      <c r="A53" s="8"/>
      <c r="B53" s="37">
        <v>4.059979716944162</v>
      </c>
      <c r="C53" s="9" t="s">
        <v>34</v>
      </c>
      <c r="D53" s="37">
        <v>11481</v>
      </c>
      <c r="E53" s="9">
        <v>1.65</v>
      </c>
      <c r="F53" s="9">
        <v>400.11</v>
      </c>
      <c r="G53" s="9">
        <v>0</v>
      </c>
      <c r="H53" s="9">
        <v>1</v>
      </c>
      <c r="I53" s="9">
        <v>-5</v>
      </c>
      <c r="J53" s="9">
        <v>0</v>
      </c>
      <c r="K53" s="9">
        <v>1.52</v>
      </c>
      <c r="L53" s="9">
        <v>3.3</v>
      </c>
      <c r="M53" s="9">
        <v>726</v>
      </c>
      <c r="N53" s="9">
        <v>9.5</v>
      </c>
      <c r="O53" s="9"/>
      <c r="P53" s="41">
        <v>8</v>
      </c>
    </row>
    <row r="54" spans="1:16" x14ac:dyDescent="0.3">
      <c r="A54" s="8"/>
      <c r="B54" s="37">
        <v>4.0299921753778474</v>
      </c>
      <c r="C54" s="9" t="s">
        <v>30</v>
      </c>
      <c r="D54" s="37">
        <v>10715</v>
      </c>
      <c r="E54" s="9">
        <v>0.18</v>
      </c>
      <c r="F54" s="9">
        <v>314.05</v>
      </c>
      <c r="G54" s="9">
        <v>0</v>
      </c>
      <c r="H54" s="9">
        <v>1</v>
      </c>
      <c r="I54" s="9">
        <v>-4.59</v>
      </c>
      <c r="J54" s="9">
        <v>0</v>
      </c>
      <c r="K54" s="9">
        <v>1.22</v>
      </c>
      <c r="L54" s="9">
        <v>2.4500000000000002</v>
      </c>
      <c r="M54" s="9">
        <v>1050</v>
      </c>
      <c r="N54" s="9"/>
      <c r="O54" s="9"/>
      <c r="P54" s="41">
        <v>8</v>
      </c>
    </row>
    <row r="55" spans="1:16" x14ac:dyDescent="0.3">
      <c r="A55" s="8"/>
      <c r="B55" s="37">
        <v>5.3000016727425541</v>
      </c>
      <c r="C55" s="9" t="s">
        <v>34</v>
      </c>
      <c r="D55" s="37">
        <v>199527</v>
      </c>
      <c r="E55" s="9">
        <v>1.65</v>
      </c>
      <c r="F55" s="9">
        <v>400.11</v>
      </c>
      <c r="G55" s="9">
        <v>0</v>
      </c>
      <c r="H55" s="9">
        <v>1</v>
      </c>
      <c r="I55" s="9">
        <v>-5</v>
      </c>
      <c r="J55" s="9">
        <v>0</v>
      </c>
      <c r="K55" s="9">
        <v>1.52</v>
      </c>
      <c r="L55" s="9">
        <v>3.3</v>
      </c>
      <c r="M55" s="9">
        <v>1050</v>
      </c>
      <c r="N55" s="9"/>
      <c r="O55" s="9"/>
      <c r="P55" s="41">
        <v>8</v>
      </c>
    </row>
    <row r="56" spans="1:16" x14ac:dyDescent="0.3">
      <c r="A56" s="8"/>
      <c r="B56" s="37">
        <v>4.5899496013257082</v>
      </c>
      <c r="C56" s="9" t="s">
        <v>30</v>
      </c>
      <c r="D56" s="37">
        <v>38900</v>
      </c>
      <c r="E56" s="9">
        <v>0.18</v>
      </c>
      <c r="F56" s="9">
        <v>314.05</v>
      </c>
      <c r="G56" s="9">
        <v>0</v>
      </c>
      <c r="H56" s="9">
        <v>1</v>
      </c>
      <c r="I56" s="9">
        <v>-4.59</v>
      </c>
      <c r="J56" s="9">
        <v>0</v>
      </c>
      <c r="K56" s="9">
        <v>1.22</v>
      </c>
      <c r="L56" s="9">
        <v>2.4500000000000002</v>
      </c>
      <c r="M56" s="9">
        <v>1050</v>
      </c>
      <c r="N56" s="9"/>
      <c r="O56" s="9"/>
      <c r="P56" s="41">
        <v>9</v>
      </c>
    </row>
    <row r="57" spans="1:16" x14ac:dyDescent="0.3">
      <c r="A57" s="8"/>
      <c r="B57" s="37">
        <v>4.4503261040614124</v>
      </c>
      <c r="C57" s="9" t="s">
        <v>35</v>
      </c>
      <c r="D57" s="37">
        <v>28205</v>
      </c>
      <c r="E57" s="9">
        <v>0.47</v>
      </c>
      <c r="F57" s="9">
        <v>330.05</v>
      </c>
      <c r="G57" s="9">
        <v>0</v>
      </c>
      <c r="H57" s="9">
        <v>1</v>
      </c>
      <c r="I57" s="9">
        <v>-4.82</v>
      </c>
      <c r="J57" s="9">
        <v>0</v>
      </c>
      <c r="K57" s="9">
        <v>1.28</v>
      </c>
      <c r="L57" s="9">
        <v>2.0750000000000002</v>
      </c>
      <c r="M57" s="9">
        <v>1050</v>
      </c>
      <c r="N57" s="9"/>
      <c r="O57" s="9">
        <v>2.4500000000000002</v>
      </c>
      <c r="P57" s="41">
        <v>9</v>
      </c>
    </row>
    <row r="58" spans="1:16" x14ac:dyDescent="0.3">
      <c r="A58" s="8"/>
      <c r="B58" s="37">
        <v>4.4771212547196626</v>
      </c>
      <c r="C58" s="9" t="s">
        <v>30</v>
      </c>
      <c r="D58" s="37">
        <v>30000</v>
      </c>
      <c r="E58" s="9">
        <v>0.18</v>
      </c>
      <c r="F58" s="9">
        <v>314.05</v>
      </c>
      <c r="G58" s="9">
        <v>0</v>
      </c>
      <c r="H58" s="9">
        <v>1</v>
      </c>
      <c r="I58" s="9">
        <v>-4.59</v>
      </c>
      <c r="J58" s="9">
        <v>0</v>
      </c>
      <c r="K58" s="9">
        <v>1.22</v>
      </c>
      <c r="L58" s="9">
        <v>2.4500000000000002</v>
      </c>
      <c r="M58" s="9">
        <v>820</v>
      </c>
      <c r="N58" s="9"/>
      <c r="O58" s="9"/>
      <c r="P58" s="41">
        <v>9</v>
      </c>
    </row>
    <row r="59" spans="1:16" x14ac:dyDescent="0.3">
      <c r="A59" s="8"/>
      <c r="B59" s="37">
        <v>4.1746411926604488</v>
      </c>
      <c r="C59" s="9" t="s">
        <v>35</v>
      </c>
      <c r="D59" s="37">
        <v>14950</v>
      </c>
      <c r="E59" s="9">
        <v>0.47</v>
      </c>
      <c r="F59" s="9">
        <v>330.05</v>
      </c>
      <c r="G59" s="9">
        <v>0</v>
      </c>
      <c r="H59" s="9">
        <v>1</v>
      </c>
      <c r="I59" s="9">
        <v>-4.82</v>
      </c>
      <c r="J59" s="9">
        <v>0</v>
      </c>
      <c r="K59" s="9">
        <v>1.28</v>
      </c>
      <c r="L59" s="9">
        <v>2.0750000000000002</v>
      </c>
      <c r="M59" s="9">
        <v>820</v>
      </c>
      <c r="N59" s="9"/>
      <c r="O59" s="9"/>
      <c r="P59" s="41">
        <v>9</v>
      </c>
    </row>
    <row r="60" spans="1:16" x14ac:dyDescent="0.3">
      <c r="A60" s="9"/>
      <c r="B60" s="37">
        <v>3.9190780923760737</v>
      </c>
      <c r="C60" s="9" t="s">
        <v>91</v>
      </c>
      <c r="D60" s="37">
        <v>8300</v>
      </c>
      <c r="E60" s="9">
        <v>-3.8</v>
      </c>
      <c r="F60" s="9">
        <v>150.08000000000001</v>
      </c>
      <c r="G60" s="9">
        <v>0</v>
      </c>
      <c r="H60" s="9">
        <v>1</v>
      </c>
      <c r="I60" s="9">
        <v>-0.61</v>
      </c>
      <c r="J60" s="9">
        <v>0</v>
      </c>
      <c r="K60" s="9">
        <v>0.64200000000000002</v>
      </c>
      <c r="L60" s="9">
        <v>0.35199999999999998</v>
      </c>
      <c r="M60" s="9">
        <v>1030</v>
      </c>
      <c r="N60" s="9">
        <v>8.1</v>
      </c>
      <c r="O60" s="9">
        <v>1.8</v>
      </c>
      <c r="P60" s="41">
        <v>10</v>
      </c>
    </row>
    <row r="61" spans="1:16" x14ac:dyDescent="0.3">
      <c r="A61" s="9"/>
      <c r="B61" s="37">
        <v>4.2369904646531475</v>
      </c>
      <c r="C61" s="9" t="s">
        <v>1</v>
      </c>
      <c r="D61" s="37">
        <v>17258</v>
      </c>
      <c r="E61" s="9">
        <v>-1.22</v>
      </c>
      <c r="F61" s="9">
        <v>214.03899999999999</v>
      </c>
      <c r="G61" s="9">
        <v>0</v>
      </c>
      <c r="H61" s="9">
        <v>1</v>
      </c>
      <c r="I61" s="9">
        <v>-2.82</v>
      </c>
      <c r="J61" s="9">
        <v>0</v>
      </c>
      <c r="K61" s="39">
        <v>0.87050000000000005</v>
      </c>
      <c r="L61" s="9">
        <v>1.81</v>
      </c>
      <c r="M61" s="9">
        <v>1260</v>
      </c>
      <c r="N61" s="9">
        <v>6.3</v>
      </c>
      <c r="O61" s="9">
        <v>3.9</v>
      </c>
      <c r="P61" s="41">
        <v>11</v>
      </c>
    </row>
    <row r="62" spans="1:16" x14ac:dyDescent="0.3">
      <c r="A62" s="9"/>
      <c r="B62" s="37">
        <v>5.1201163649981218</v>
      </c>
      <c r="C62" s="9" t="s">
        <v>2</v>
      </c>
      <c r="D62" s="37">
        <v>131861</v>
      </c>
      <c r="E62" s="9">
        <v>0.251</v>
      </c>
      <c r="F62" s="9">
        <v>299.10000000000002</v>
      </c>
      <c r="G62" s="9">
        <v>0</v>
      </c>
      <c r="H62" s="9">
        <v>1</v>
      </c>
      <c r="I62" s="9">
        <v>-3.36</v>
      </c>
      <c r="J62" s="9">
        <v>0</v>
      </c>
      <c r="K62" s="39">
        <v>1.1711</v>
      </c>
      <c r="L62" s="9">
        <v>2.2599999999999998</v>
      </c>
      <c r="M62" s="9">
        <v>1260</v>
      </c>
      <c r="N62" s="9">
        <v>6.3</v>
      </c>
      <c r="O62" s="9">
        <v>3.9</v>
      </c>
      <c r="P62" s="41">
        <v>11</v>
      </c>
    </row>
    <row r="63" spans="1:16" x14ac:dyDescent="0.3">
      <c r="A63" s="9"/>
      <c r="B63" s="37">
        <v>4.5193028492354284</v>
      </c>
      <c r="C63" s="9" t="s">
        <v>1</v>
      </c>
      <c r="D63" s="37">
        <v>33060</v>
      </c>
      <c r="E63" s="9">
        <v>-1.22</v>
      </c>
      <c r="F63" s="9">
        <v>214.03899999999999</v>
      </c>
      <c r="G63" s="9">
        <v>0</v>
      </c>
      <c r="H63" s="9">
        <v>1</v>
      </c>
      <c r="I63" s="9">
        <v>-2.82</v>
      </c>
      <c r="J63" s="9">
        <v>0</v>
      </c>
      <c r="K63" s="39">
        <v>0.87050000000000005</v>
      </c>
      <c r="L63" s="9">
        <v>1.81</v>
      </c>
      <c r="M63" s="9">
        <v>1255</v>
      </c>
      <c r="N63" s="9">
        <v>9.5</v>
      </c>
      <c r="O63" s="9">
        <v>1.4</v>
      </c>
      <c r="P63" s="41">
        <v>11</v>
      </c>
    </row>
    <row r="64" spans="1:16" x14ac:dyDescent="0.3">
      <c r="A64" s="9"/>
      <c r="B64" s="37">
        <v>5.2690784324438988</v>
      </c>
      <c r="C64" s="9" t="s">
        <v>2</v>
      </c>
      <c r="D64" s="37">
        <v>185814</v>
      </c>
      <c r="E64" s="9">
        <v>0.251</v>
      </c>
      <c r="F64" s="9">
        <v>299.10000000000002</v>
      </c>
      <c r="G64" s="9">
        <v>0</v>
      </c>
      <c r="H64" s="9">
        <v>1</v>
      </c>
      <c r="I64" s="9">
        <v>-3.36</v>
      </c>
      <c r="J64" s="9">
        <v>0</v>
      </c>
      <c r="K64" s="39">
        <v>1.1711</v>
      </c>
      <c r="L64" s="9">
        <v>2.2599999999999998</v>
      </c>
      <c r="M64" s="9">
        <v>1255</v>
      </c>
      <c r="N64" s="9">
        <v>9.5</v>
      </c>
      <c r="O64" s="9">
        <v>1.4</v>
      </c>
      <c r="P64" s="41">
        <v>11</v>
      </c>
    </row>
    <row r="65" spans="1:16" x14ac:dyDescent="0.3">
      <c r="A65" s="9"/>
      <c r="B65" s="37">
        <v>2.2600713879850747</v>
      </c>
      <c r="C65" s="9" t="s">
        <v>1</v>
      </c>
      <c r="D65" s="37">
        <v>182</v>
      </c>
      <c r="E65" s="9">
        <v>-1.22</v>
      </c>
      <c r="F65" s="9">
        <v>214.03899999999999</v>
      </c>
      <c r="G65" s="9">
        <v>0</v>
      </c>
      <c r="H65" s="9">
        <v>1</v>
      </c>
      <c r="I65" s="9">
        <v>-2.82</v>
      </c>
      <c r="J65" s="9">
        <v>0</v>
      </c>
      <c r="K65" s="39">
        <v>0.87050000000000005</v>
      </c>
      <c r="L65" s="9">
        <v>1.81</v>
      </c>
      <c r="M65" s="9">
        <v>1200</v>
      </c>
      <c r="N65" s="9">
        <v>2.7</v>
      </c>
      <c r="O65" s="9">
        <v>9.1999999999999993</v>
      </c>
      <c r="P65" s="41">
        <v>11</v>
      </c>
    </row>
    <row r="66" spans="1:16" x14ac:dyDescent="0.3">
      <c r="A66" s="9"/>
      <c r="B66" s="37">
        <v>3.4841574243653808</v>
      </c>
      <c r="C66" s="9" t="s">
        <v>2</v>
      </c>
      <c r="D66" s="37">
        <v>3049</v>
      </c>
      <c r="E66" s="9">
        <v>0.251</v>
      </c>
      <c r="F66" s="9">
        <v>299.10000000000002</v>
      </c>
      <c r="G66" s="9">
        <v>0</v>
      </c>
      <c r="H66" s="9">
        <v>1</v>
      </c>
      <c r="I66" s="9">
        <v>-3.36</v>
      </c>
      <c r="J66" s="9">
        <v>0</v>
      </c>
      <c r="K66" s="39">
        <v>1.1711</v>
      </c>
      <c r="L66" s="9">
        <v>2.2599999999999998</v>
      </c>
      <c r="M66" s="9">
        <v>1200</v>
      </c>
      <c r="N66" s="9">
        <v>2.7</v>
      </c>
      <c r="O66" s="9">
        <v>9.1999999999999993</v>
      </c>
      <c r="P66" s="41">
        <v>11</v>
      </c>
    </row>
    <row r="67" spans="1:16" x14ac:dyDescent="0.3">
      <c r="A67" s="10"/>
      <c r="B67" s="37">
        <v>2.3424226808222062</v>
      </c>
      <c r="C67" s="9" t="s">
        <v>1</v>
      </c>
      <c r="D67" s="37">
        <v>220</v>
      </c>
      <c r="E67" s="9">
        <v>-1.22</v>
      </c>
      <c r="F67" s="9">
        <v>214.03899999999999</v>
      </c>
      <c r="G67" s="9">
        <v>0</v>
      </c>
      <c r="H67" s="9">
        <v>1</v>
      </c>
      <c r="I67" s="9">
        <v>-2.82</v>
      </c>
      <c r="J67" s="9">
        <v>0</v>
      </c>
      <c r="K67" s="39">
        <v>0.87050000000000005</v>
      </c>
      <c r="L67" s="9">
        <v>1.81</v>
      </c>
      <c r="M67" s="9">
        <v>1100</v>
      </c>
      <c r="N67" s="9">
        <v>5.9</v>
      </c>
      <c r="O67" s="9">
        <v>13.7</v>
      </c>
      <c r="P67" s="41">
        <v>12</v>
      </c>
    </row>
    <row r="68" spans="1:16" x14ac:dyDescent="0.3">
      <c r="A68" s="10"/>
      <c r="B68" s="37">
        <v>2.6127838567197355</v>
      </c>
      <c r="C68" s="9" t="s">
        <v>1</v>
      </c>
      <c r="D68" s="37">
        <v>410</v>
      </c>
      <c r="E68" s="9">
        <v>-1.22</v>
      </c>
      <c r="F68" s="9">
        <v>214.03899999999999</v>
      </c>
      <c r="G68" s="9">
        <v>0</v>
      </c>
      <c r="H68" s="9">
        <v>1</v>
      </c>
      <c r="I68" s="9">
        <v>-2.82</v>
      </c>
      <c r="J68" s="9">
        <v>0</v>
      </c>
      <c r="K68" s="39">
        <v>0.87050000000000005</v>
      </c>
      <c r="L68" s="9">
        <v>1.81</v>
      </c>
      <c r="M68" s="9">
        <v>720</v>
      </c>
      <c r="N68" s="9">
        <v>7.3</v>
      </c>
      <c r="O68" s="9">
        <v>7.9</v>
      </c>
      <c r="P68" s="41">
        <v>12</v>
      </c>
    </row>
    <row r="69" spans="1:16" x14ac:dyDescent="0.3">
      <c r="A69" s="10"/>
      <c r="B69" s="37">
        <v>4.2787536009528289</v>
      </c>
      <c r="C69" s="9" t="s">
        <v>1</v>
      </c>
      <c r="D69" s="37">
        <v>19000</v>
      </c>
      <c r="E69" s="9">
        <v>-1.22</v>
      </c>
      <c r="F69" s="9">
        <v>214.03899999999999</v>
      </c>
      <c r="G69" s="9">
        <v>0</v>
      </c>
      <c r="H69" s="9">
        <v>1</v>
      </c>
      <c r="I69" s="9">
        <v>-2.82</v>
      </c>
      <c r="J69" s="9">
        <v>0</v>
      </c>
      <c r="K69" s="39">
        <v>0.87050000000000005</v>
      </c>
      <c r="L69" s="9">
        <v>1.81</v>
      </c>
      <c r="M69" s="9">
        <v>1000</v>
      </c>
      <c r="N69" s="9">
        <v>9.3000000000000007</v>
      </c>
      <c r="O69" s="9">
        <v>1.1000000000000001</v>
      </c>
      <c r="P69" s="41">
        <v>12</v>
      </c>
    </row>
    <row r="70" spans="1:16" x14ac:dyDescent="0.3">
      <c r="A70" s="9"/>
      <c r="B70" s="37">
        <v>4.1003705451175625</v>
      </c>
      <c r="C70" s="9" t="s">
        <v>29</v>
      </c>
      <c r="D70" s="37">
        <v>12600</v>
      </c>
      <c r="E70" s="9">
        <v>-0.54</v>
      </c>
      <c r="F70" s="9">
        <v>264.05</v>
      </c>
      <c r="G70" s="9">
        <v>0</v>
      </c>
      <c r="H70" s="9">
        <v>1</v>
      </c>
      <c r="I70" s="9">
        <v>-3.72</v>
      </c>
      <c r="J70" s="9">
        <v>0</v>
      </c>
      <c r="K70" s="9">
        <v>1.05</v>
      </c>
      <c r="L70" s="9">
        <v>2.4300000000000002</v>
      </c>
      <c r="M70" s="9">
        <v>262</v>
      </c>
      <c r="N70" s="9"/>
      <c r="O70" s="9"/>
      <c r="P70" s="41">
        <v>13</v>
      </c>
    </row>
    <row r="71" spans="1:16" x14ac:dyDescent="0.3">
      <c r="A71" s="9"/>
      <c r="B71" s="37">
        <v>5.3483048630481607</v>
      </c>
      <c r="C71" s="9" t="s">
        <v>30</v>
      </c>
      <c r="D71" s="37">
        <v>223000</v>
      </c>
      <c r="E71" s="9">
        <v>0.18</v>
      </c>
      <c r="F71" s="9">
        <v>314.05</v>
      </c>
      <c r="G71" s="9">
        <v>0</v>
      </c>
      <c r="H71" s="9">
        <v>1</v>
      </c>
      <c r="I71" s="9">
        <v>-4.59</v>
      </c>
      <c r="J71" s="9">
        <v>0</v>
      </c>
      <c r="K71" s="9">
        <v>1.22</v>
      </c>
      <c r="L71" s="9">
        <v>2.4500000000000002</v>
      </c>
      <c r="M71" s="9">
        <v>659</v>
      </c>
      <c r="N71" s="9"/>
      <c r="O71" s="9"/>
      <c r="P71" s="41">
        <v>14</v>
      </c>
    </row>
    <row r="72" spans="1:16" x14ac:dyDescent="0.3">
      <c r="A72" s="9"/>
      <c r="B72" s="37">
        <v>5.5786392099680722</v>
      </c>
      <c r="C72" s="9" t="s">
        <v>2</v>
      </c>
      <c r="D72" s="37">
        <v>379000</v>
      </c>
      <c r="E72" s="9">
        <v>0.251</v>
      </c>
      <c r="F72" s="9">
        <v>299.10000000000002</v>
      </c>
      <c r="G72" s="9">
        <v>0</v>
      </c>
      <c r="H72" s="9">
        <v>1</v>
      </c>
      <c r="I72" s="9">
        <v>-3.36</v>
      </c>
      <c r="J72" s="9">
        <v>0</v>
      </c>
      <c r="K72" s="38">
        <v>1.1711</v>
      </c>
      <c r="L72" s="9">
        <v>2.2599999999999998</v>
      </c>
      <c r="M72" s="9"/>
      <c r="N72" s="9"/>
      <c r="O72" s="9"/>
      <c r="P72" s="41">
        <v>15</v>
      </c>
    </row>
    <row r="73" spans="1:16" x14ac:dyDescent="0.3">
      <c r="A73" s="9"/>
      <c r="B73" s="37">
        <v>6.5538830266438746</v>
      </c>
      <c r="C73" s="9" t="s">
        <v>34</v>
      </c>
      <c r="D73" s="37">
        <v>3580000</v>
      </c>
      <c r="E73" s="9">
        <v>1.65</v>
      </c>
      <c r="F73" s="9">
        <v>400.11</v>
      </c>
      <c r="G73" s="9">
        <v>0</v>
      </c>
      <c r="H73" s="9">
        <v>1</v>
      </c>
      <c r="I73" s="9">
        <v>-5</v>
      </c>
      <c r="J73" s="9">
        <v>0</v>
      </c>
      <c r="K73" s="9">
        <v>1.52</v>
      </c>
      <c r="L73" s="9">
        <v>3.3</v>
      </c>
      <c r="M73" s="9"/>
      <c r="N73" s="9"/>
      <c r="O73" s="9"/>
      <c r="P73" s="41">
        <v>15</v>
      </c>
    </row>
    <row r="74" spans="1:16" x14ac:dyDescent="0.3">
      <c r="A74" s="9"/>
      <c r="B74" s="37">
        <v>6.3661800579891148</v>
      </c>
      <c r="C74" s="9" t="s">
        <v>34</v>
      </c>
      <c r="D74" s="37">
        <v>2323700</v>
      </c>
      <c r="E74" s="9">
        <v>1.65</v>
      </c>
      <c r="F74" s="9">
        <v>400.11</v>
      </c>
      <c r="G74" s="9">
        <v>0</v>
      </c>
      <c r="H74" s="9">
        <v>1</v>
      </c>
      <c r="I74" s="9">
        <v>-5</v>
      </c>
      <c r="J74" s="9">
        <v>0</v>
      </c>
      <c r="K74" s="9">
        <v>1.52</v>
      </c>
      <c r="L74" s="9">
        <v>3.3</v>
      </c>
      <c r="M74" s="9"/>
      <c r="N74" s="9"/>
      <c r="O74" s="9"/>
      <c r="P74" s="41">
        <v>15</v>
      </c>
    </row>
    <row r="75" spans="1:16" x14ac:dyDescent="0.3">
      <c r="A75" s="9"/>
      <c r="B75" s="37">
        <v>5.4152305077818248</v>
      </c>
      <c r="C75" s="9" t="s">
        <v>2</v>
      </c>
      <c r="D75" s="37">
        <v>260154</v>
      </c>
      <c r="E75" s="9">
        <v>0.251</v>
      </c>
      <c r="F75" s="9">
        <v>299.10000000000002</v>
      </c>
      <c r="G75" s="9">
        <v>0</v>
      </c>
      <c r="H75" s="9">
        <v>1</v>
      </c>
      <c r="I75" s="9">
        <v>-3.36</v>
      </c>
      <c r="J75" s="9">
        <v>0</v>
      </c>
      <c r="K75" s="38">
        <v>1.1711</v>
      </c>
      <c r="L75" s="9">
        <v>2.2599999999999998</v>
      </c>
      <c r="M75" s="9">
        <v>676</v>
      </c>
      <c r="N75" s="9">
        <v>8</v>
      </c>
      <c r="O75" s="9"/>
      <c r="P75" s="41">
        <v>5</v>
      </c>
    </row>
    <row r="76" spans="1:16" x14ac:dyDescent="0.3">
      <c r="A76" s="9"/>
      <c r="B76" s="37">
        <v>5.6283848425535998</v>
      </c>
      <c r="C76" s="9" t="s">
        <v>2</v>
      </c>
      <c r="D76" s="37">
        <v>424996</v>
      </c>
      <c r="E76" s="9">
        <v>0.251</v>
      </c>
      <c r="F76" s="9">
        <v>299.10000000000002</v>
      </c>
      <c r="G76" s="9">
        <v>0</v>
      </c>
      <c r="H76" s="9">
        <v>1</v>
      </c>
      <c r="I76" s="9">
        <v>-3.36</v>
      </c>
      <c r="J76" s="9">
        <v>0</v>
      </c>
      <c r="K76" s="38">
        <v>1.1711</v>
      </c>
      <c r="L76" s="9">
        <v>2.2599999999999998</v>
      </c>
      <c r="M76" s="9">
        <v>752</v>
      </c>
      <c r="N76" s="9">
        <v>7.95</v>
      </c>
      <c r="O76" s="9"/>
      <c r="P76" s="41">
        <v>5</v>
      </c>
    </row>
    <row r="77" spans="1:16" x14ac:dyDescent="0.3">
      <c r="A77" s="9"/>
      <c r="B77" s="37">
        <v>5.3258275209383381</v>
      </c>
      <c r="C77" s="9" t="s">
        <v>29</v>
      </c>
      <c r="D77" s="37">
        <v>211752</v>
      </c>
      <c r="E77" s="9">
        <v>-0.54</v>
      </c>
      <c r="F77" s="9">
        <v>264.05</v>
      </c>
      <c r="G77" s="9">
        <v>0</v>
      </c>
      <c r="H77" s="9">
        <v>1</v>
      </c>
      <c r="I77" s="9">
        <v>-3.72</v>
      </c>
      <c r="J77" s="9">
        <v>0</v>
      </c>
      <c r="K77" s="9">
        <v>1.05</v>
      </c>
      <c r="L77" s="9">
        <v>2.4300000000000002</v>
      </c>
      <c r="M77" s="9">
        <v>676</v>
      </c>
      <c r="N77" s="9">
        <v>8</v>
      </c>
      <c r="O77" s="9"/>
      <c r="P77" s="41">
        <v>5</v>
      </c>
    </row>
    <row r="78" spans="1:16" x14ac:dyDescent="0.3">
      <c r="A78" s="9"/>
      <c r="B78" s="37">
        <v>5.6566290014421545</v>
      </c>
      <c r="C78" s="9" t="s">
        <v>29</v>
      </c>
      <c r="D78" s="37">
        <v>453554</v>
      </c>
      <c r="E78" s="9">
        <v>-0.54</v>
      </c>
      <c r="F78" s="9">
        <v>264.05</v>
      </c>
      <c r="G78" s="9">
        <v>0</v>
      </c>
      <c r="H78" s="9">
        <v>1</v>
      </c>
      <c r="I78" s="9">
        <v>-3.72</v>
      </c>
      <c r="J78" s="9">
        <v>0</v>
      </c>
      <c r="K78" s="9">
        <v>1.05</v>
      </c>
      <c r="L78" s="9">
        <v>2.4300000000000002</v>
      </c>
      <c r="M78" s="9">
        <v>752</v>
      </c>
      <c r="N78" s="9">
        <v>7.95</v>
      </c>
      <c r="O78" s="9"/>
      <c r="P78" s="41">
        <v>5</v>
      </c>
    </row>
    <row r="79" spans="1:16" x14ac:dyDescent="0.3">
      <c r="A79" s="9"/>
      <c r="B79" s="37">
        <v>5.4415238971899527</v>
      </c>
      <c r="C79" s="9" t="s">
        <v>30</v>
      </c>
      <c r="D79" s="37">
        <v>276391</v>
      </c>
      <c r="E79" s="9">
        <v>0.18</v>
      </c>
      <c r="F79" s="9">
        <v>314.05</v>
      </c>
      <c r="G79" s="9">
        <v>0</v>
      </c>
      <c r="H79" s="9">
        <v>1</v>
      </c>
      <c r="I79" s="9">
        <v>-4.59</v>
      </c>
      <c r="J79" s="9">
        <v>0</v>
      </c>
      <c r="K79" s="9">
        <v>1.22</v>
      </c>
      <c r="L79" s="9">
        <v>2.4500000000000002</v>
      </c>
      <c r="M79" s="9">
        <v>676</v>
      </c>
      <c r="N79" s="9">
        <v>8</v>
      </c>
      <c r="O79" s="9"/>
      <c r="P79" s="41">
        <v>5</v>
      </c>
    </row>
    <row r="80" spans="1:16" x14ac:dyDescent="0.3">
      <c r="A80" s="9"/>
      <c r="B80" s="37">
        <v>5.4510338251393673</v>
      </c>
      <c r="C80" s="9" t="s">
        <v>30</v>
      </c>
      <c r="D80" s="37">
        <v>282510</v>
      </c>
      <c r="E80" s="9">
        <v>0.18</v>
      </c>
      <c r="F80" s="9">
        <v>314.05</v>
      </c>
      <c r="G80" s="9">
        <v>0</v>
      </c>
      <c r="H80" s="9">
        <v>1</v>
      </c>
      <c r="I80" s="9">
        <v>-4.59</v>
      </c>
      <c r="J80" s="9">
        <v>0</v>
      </c>
      <c r="K80" s="9">
        <v>1.22</v>
      </c>
      <c r="L80" s="9">
        <v>2.4500000000000002</v>
      </c>
      <c r="M80" s="9">
        <v>752</v>
      </c>
      <c r="N80" s="9">
        <v>7.95</v>
      </c>
      <c r="O80" s="9"/>
      <c r="P80" s="41">
        <v>5</v>
      </c>
    </row>
    <row r="81" spans="1:16" x14ac:dyDescent="0.3">
      <c r="A81" s="9"/>
      <c r="B81" s="37">
        <v>5.6451156002894596</v>
      </c>
      <c r="C81" s="9" t="s">
        <v>34</v>
      </c>
      <c r="D81" s="37">
        <v>441688</v>
      </c>
      <c r="E81" s="9">
        <v>1.65</v>
      </c>
      <c r="F81" s="9">
        <v>400.11</v>
      </c>
      <c r="G81" s="9">
        <v>0</v>
      </c>
      <c r="H81" s="9">
        <v>1</v>
      </c>
      <c r="I81" s="9">
        <v>-5</v>
      </c>
      <c r="J81" s="9">
        <v>0</v>
      </c>
      <c r="K81" s="9">
        <v>1.52</v>
      </c>
      <c r="L81" s="9">
        <v>3.3</v>
      </c>
      <c r="M81" s="9">
        <v>676</v>
      </c>
      <c r="N81" s="9">
        <v>8</v>
      </c>
      <c r="O81" s="9"/>
      <c r="P81" s="41">
        <v>5</v>
      </c>
    </row>
    <row r="82" spans="1:16" x14ac:dyDescent="0.3">
      <c r="A82" s="9"/>
      <c r="B82" s="37">
        <v>5.4915073681938686</v>
      </c>
      <c r="C82" s="9" t="s">
        <v>31</v>
      </c>
      <c r="D82" s="37">
        <v>310104</v>
      </c>
      <c r="E82" s="9">
        <v>0.88</v>
      </c>
      <c r="F82" s="9">
        <v>364.06</v>
      </c>
      <c r="G82" s="9">
        <v>0</v>
      </c>
      <c r="H82" s="9">
        <v>1</v>
      </c>
      <c r="I82" s="9">
        <v>-5.42</v>
      </c>
      <c r="J82" s="9">
        <v>0</v>
      </c>
      <c r="K82" s="9">
        <v>1.4</v>
      </c>
      <c r="L82" s="9">
        <v>3.77</v>
      </c>
      <c r="M82" s="9">
        <v>676</v>
      </c>
      <c r="N82" s="9">
        <v>8</v>
      </c>
      <c r="O82" s="9"/>
      <c r="P82" s="41">
        <v>5</v>
      </c>
    </row>
    <row r="83" spans="1:16" x14ac:dyDescent="0.3">
      <c r="A83" s="9"/>
      <c r="B83" s="37">
        <v>5.687729564278948</v>
      </c>
      <c r="C83" s="9" t="s">
        <v>31</v>
      </c>
      <c r="D83" s="37">
        <v>487225</v>
      </c>
      <c r="E83" s="9">
        <v>0.88</v>
      </c>
      <c r="F83" s="9">
        <v>364.06</v>
      </c>
      <c r="G83" s="9">
        <v>0</v>
      </c>
      <c r="H83" s="9">
        <v>1</v>
      </c>
      <c r="I83" s="9">
        <v>-5.42</v>
      </c>
      <c r="J83" s="9">
        <v>0</v>
      </c>
      <c r="K83" s="9">
        <v>1.4</v>
      </c>
      <c r="L83" s="9">
        <v>3.77</v>
      </c>
      <c r="M83" s="9">
        <v>752</v>
      </c>
      <c r="N83" s="9">
        <v>7.95</v>
      </c>
      <c r="O83" s="9"/>
      <c r="P83" s="41">
        <v>5</v>
      </c>
    </row>
    <row r="84" spans="1:16" x14ac:dyDescent="0.3">
      <c r="A84" s="36"/>
      <c r="B84" s="37">
        <v>4.3364597338485291</v>
      </c>
      <c r="C84" s="9" t="s">
        <v>31</v>
      </c>
      <c r="D84" s="37">
        <v>21700</v>
      </c>
      <c r="E84" s="9">
        <v>0.88</v>
      </c>
      <c r="F84" s="9">
        <v>364.06</v>
      </c>
      <c r="G84" s="9">
        <v>0</v>
      </c>
      <c r="H84" s="9">
        <v>1</v>
      </c>
      <c r="I84" s="9">
        <v>-5.42</v>
      </c>
      <c r="J84" s="9">
        <v>0</v>
      </c>
      <c r="K84" s="9">
        <v>1.4</v>
      </c>
      <c r="L84" s="9">
        <v>3.77</v>
      </c>
      <c r="M84" s="9">
        <v>810</v>
      </c>
      <c r="N84" s="9">
        <v>6</v>
      </c>
      <c r="O84" s="9"/>
      <c r="P84" s="41">
        <v>16</v>
      </c>
    </row>
    <row r="85" spans="1:16" x14ac:dyDescent="0.3">
      <c r="A85" s="36"/>
      <c r="B85" s="37">
        <v>4.8979568100069519</v>
      </c>
      <c r="C85" s="9" t="s">
        <v>2</v>
      </c>
      <c r="D85" s="37">
        <v>79060</v>
      </c>
      <c r="E85" s="9">
        <v>0.251</v>
      </c>
      <c r="F85" s="9">
        <v>299.10000000000002</v>
      </c>
      <c r="G85" s="9">
        <v>0</v>
      </c>
      <c r="H85" s="9">
        <v>1</v>
      </c>
      <c r="I85" s="9">
        <v>-3.36</v>
      </c>
      <c r="J85" s="9">
        <v>0</v>
      </c>
      <c r="K85" s="38">
        <v>1.1711</v>
      </c>
      <c r="L85" s="9">
        <v>2.2599999999999998</v>
      </c>
      <c r="M85" s="9">
        <v>810</v>
      </c>
      <c r="N85" s="9">
        <v>6</v>
      </c>
      <c r="O85" s="9"/>
      <c r="P85" s="41">
        <v>16</v>
      </c>
    </row>
    <row r="86" spans="1:16" x14ac:dyDescent="0.3">
      <c r="A86" s="36"/>
      <c r="B86" s="37">
        <v>5.5153094239045135</v>
      </c>
      <c r="C86" s="9" t="s">
        <v>34</v>
      </c>
      <c r="D86" s="37">
        <v>327574</v>
      </c>
      <c r="E86" s="9">
        <v>1.65</v>
      </c>
      <c r="F86" s="9">
        <v>400.11</v>
      </c>
      <c r="G86" s="9">
        <v>0</v>
      </c>
      <c r="H86" s="9">
        <v>1</v>
      </c>
      <c r="I86" s="9">
        <v>-5</v>
      </c>
      <c r="J86" s="9">
        <v>0</v>
      </c>
      <c r="K86" s="9">
        <v>1.52</v>
      </c>
      <c r="L86" s="9">
        <v>3.3</v>
      </c>
      <c r="M86" s="9">
        <v>810</v>
      </c>
      <c r="N86" s="9">
        <v>6</v>
      </c>
      <c r="O86" s="9"/>
      <c r="P86" s="41">
        <v>16</v>
      </c>
    </row>
    <row r="87" spans="1:16" x14ac:dyDescent="0.3">
      <c r="A87" s="36"/>
      <c r="B87" s="37">
        <v>3.8202014594856402</v>
      </c>
      <c r="C87" s="9" t="s">
        <v>29</v>
      </c>
      <c r="D87" s="37">
        <v>6610</v>
      </c>
      <c r="E87" s="9">
        <v>-0.54</v>
      </c>
      <c r="F87" s="9">
        <v>264.05</v>
      </c>
      <c r="G87" s="9">
        <v>0</v>
      </c>
      <c r="H87" s="9">
        <v>1</v>
      </c>
      <c r="I87" s="9">
        <v>-3.72</v>
      </c>
      <c r="J87" s="9">
        <v>0</v>
      </c>
      <c r="K87" s="9">
        <v>1.05</v>
      </c>
      <c r="L87" s="9">
        <v>2.4300000000000002</v>
      </c>
      <c r="M87" s="9">
        <v>1002</v>
      </c>
      <c r="N87" s="9">
        <v>7.8</v>
      </c>
      <c r="O87" s="9"/>
      <c r="P87" s="41">
        <v>17</v>
      </c>
    </row>
    <row r="88" spans="1:16" x14ac:dyDescent="0.3">
      <c r="A88" s="36"/>
      <c r="B88" s="37">
        <v>4.3981136917305026</v>
      </c>
      <c r="C88" s="9" t="s">
        <v>2</v>
      </c>
      <c r="D88" s="37">
        <v>25010</v>
      </c>
      <c r="E88" s="9">
        <v>0.251</v>
      </c>
      <c r="F88" s="9">
        <v>299.10000000000002</v>
      </c>
      <c r="G88" s="9">
        <v>0</v>
      </c>
      <c r="H88" s="9">
        <v>1</v>
      </c>
      <c r="I88" s="9">
        <v>-3.36</v>
      </c>
      <c r="J88" s="9">
        <v>0</v>
      </c>
      <c r="K88" s="38">
        <v>1.1711</v>
      </c>
      <c r="L88" s="9">
        <v>2.2599999999999998</v>
      </c>
      <c r="M88" s="9">
        <v>1002</v>
      </c>
      <c r="N88" s="9">
        <v>7.8</v>
      </c>
      <c r="O88" s="9"/>
      <c r="P88" s="41">
        <v>17</v>
      </c>
    </row>
    <row r="89" spans="1:16" x14ac:dyDescent="0.3">
      <c r="A89" s="36"/>
      <c r="B89" s="37">
        <v>4.2304489213782741</v>
      </c>
      <c r="C89" s="9" t="s">
        <v>30</v>
      </c>
      <c r="D89" s="37">
        <v>17000</v>
      </c>
      <c r="E89" s="9">
        <v>0.18</v>
      </c>
      <c r="F89" s="9">
        <v>314.05</v>
      </c>
      <c r="G89" s="9">
        <v>0</v>
      </c>
      <c r="H89" s="9">
        <v>1</v>
      </c>
      <c r="I89" s="9">
        <v>-4.59</v>
      </c>
      <c r="J89" s="9">
        <v>0</v>
      </c>
      <c r="K89" s="9">
        <v>1.22</v>
      </c>
      <c r="L89" s="9">
        <v>2.4500000000000002</v>
      </c>
      <c r="M89" s="9">
        <v>1002</v>
      </c>
      <c r="N89" s="9">
        <v>7.8</v>
      </c>
      <c r="O89" s="9"/>
      <c r="P89" s="41">
        <v>17</v>
      </c>
    </row>
    <row r="90" spans="1:16" x14ac:dyDescent="0.3">
      <c r="A90" s="36"/>
      <c r="B90" s="37">
        <v>4.220108088040055</v>
      </c>
      <c r="C90" s="9" t="s">
        <v>31</v>
      </c>
      <c r="D90" s="37">
        <v>16600</v>
      </c>
      <c r="E90" s="9">
        <v>0.88</v>
      </c>
      <c r="F90" s="9">
        <v>364.06</v>
      </c>
      <c r="G90" s="9">
        <v>0</v>
      </c>
      <c r="H90" s="9">
        <v>1</v>
      </c>
      <c r="I90" s="9">
        <v>-5.42</v>
      </c>
      <c r="J90" s="9">
        <v>0</v>
      </c>
      <c r="K90" s="9">
        <v>1.4</v>
      </c>
      <c r="L90" s="9">
        <v>3.77</v>
      </c>
      <c r="M90" s="9">
        <v>1002</v>
      </c>
      <c r="N90" s="9">
        <v>7.8</v>
      </c>
      <c r="O90" s="9"/>
      <c r="P90" s="41">
        <v>17</v>
      </c>
    </row>
    <row r="91" spans="1:16" x14ac:dyDescent="0.3">
      <c r="A91" s="36"/>
      <c r="B91" s="37">
        <v>4.5899496013257082</v>
      </c>
      <c r="C91" s="9" t="s">
        <v>34</v>
      </c>
      <c r="D91" s="37">
        <v>38900</v>
      </c>
      <c r="E91" s="9">
        <v>1.65</v>
      </c>
      <c r="F91" s="9">
        <v>400.11</v>
      </c>
      <c r="G91" s="9">
        <v>0</v>
      </c>
      <c r="H91" s="9">
        <v>1</v>
      </c>
      <c r="I91" s="9">
        <v>-5</v>
      </c>
      <c r="J91" s="9">
        <v>0</v>
      </c>
      <c r="K91" s="9">
        <v>1.52</v>
      </c>
      <c r="L91" s="9">
        <v>3.3</v>
      </c>
      <c r="M91" s="9">
        <v>1002</v>
      </c>
      <c r="N91" s="9">
        <v>7.8</v>
      </c>
      <c r="O91" s="9"/>
      <c r="P91" s="41">
        <v>17</v>
      </c>
    </row>
    <row r="92" spans="1:16" x14ac:dyDescent="0.3">
      <c r="A92" s="36"/>
      <c r="B92" s="37">
        <v>4.2329961103921541</v>
      </c>
      <c r="C92" s="9" t="s">
        <v>29</v>
      </c>
      <c r="D92" s="37">
        <v>17100</v>
      </c>
      <c r="E92" s="9">
        <v>-0.54</v>
      </c>
      <c r="F92" s="9">
        <v>264.05</v>
      </c>
      <c r="G92" s="9">
        <v>0</v>
      </c>
      <c r="H92" s="9">
        <v>1</v>
      </c>
      <c r="I92" s="9">
        <v>-3.72</v>
      </c>
      <c r="J92" s="9">
        <v>0</v>
      </c>
      <c r="K92" s="9">
        <v>1.05</v>
      </c>
      <c r="L92" s="9">
        <v>2.4300000000000002</v>
      </c>
      <c r="M92" s="9">
        <v>992</v>
      </c>
      <c r="N92" s="9">
        <v>9.6999999999999993</v>
      </c>
      <c r="O92" s="9"/>
      <c r="P92" s="41">
        <v>17</v>
      </c>
    </row>
    <row r="93" spans="1:16" x14ac:dyDescent="0.3">
      <c r="A93" s="36"/>
      <c r="B93" s="37">
        <v>4.5740312677277188</v>
      </c>
      <c r="C93" s="9" t="s">
        <v>2</v>
      </c>
      <c r="D93" s="37">
        <v>37500</v>
      </c>
      <c r="E93" s="9">
        <v>0.251</v>
      </c>
      <c r="F93" s="9">
        <v>299.10000000000002</v>
      </c>
      <c r="G93" s="9">
        <v>0</v>
      </c>
      <c r="H93" s="9">
        <v>1</v>
      </c>
      <c r="I93" s="9">
        <v>-3.36</v>
      </c>
      <c r="J93" s="9">
        <v>0</v>
      </c>
      <c r="K93" s="38">
        <v>1.1711</v>
      </c>
      <c r="L93" s="9">
        <v>2.2599999999999998</v>
      </c>
      <c r="M93" s="9">
        <v>992</v>
      </c>
      <c r="N93" s="9">
        <v>9.6999999999999993</v>
      </c>
      <c r="O93" s="9"/>
      <c r="P93" s="41">
        <v>17</v>
      </c>
    </row>
    <row r="94" spans="1:16" x14ac:dyDescent="0.3">
      <c r="A94" s="36"/>
      <c r="B94" s="37">
        <v>4.5916210382133196</v>
      </c>
      <c r="C94" s="9" t="s">
        <v>30</v>
      </c>
      <c r="D94" s="37">
        <v>39050</v>
      </c>
      <c r="E94" s="9">
        <v>0.18</v>
      </c>
      <c r="F94" s="9">
        <v>314.05</v>
      </c>
      <c r="G94" s="9">
        <v>0</v>
      </c>
      <c r="H94" s="9">
        <v>1</v>
      </c>
      <c r="I94" s="9">
        <v>-4.59</v>
      </c>
      <c r="J94" s="9">
        <v>0</v>
      </c>
      <c r="K94" s="9">
        <v>1.22</v>
      </c>
      <c r="L94" s="9">
        <v>2.4500000000000002</v>
      </c>
      <c r="M94" s="9">
        <v>992</v>
      </c>
      <c r="N94" s="9">
        <v>9.6999999999999993</v>
      </c>
      <c r="O94" s="9"/>
      <c r="P94" s="41">
        <v>17</v>
      </c>
    </row>
    <row r="95" spans="1:16" x14ac:dyDescent="0.3">
      <c r="A95" s="36"/>
      <c r="B95" s="37">
        <v>4.6063813651106047</v>
      </c>
      <c r="C95" s="9" t="s">
        <v>31</v>
      </c>
      <c r="D95" s="37">
        <v>40400</v>
      </c>
      <c r="E95" s="9">
        <v>0.88</v>
      </c>
      <c r="F95" s="9">
        <v>364.06</v>
      </c>
      <c r="G95" s="9">
        <v>0</v>
      </c>
      <c r="H95" s="9">
        <v>1</v>
      </c>
      <c r="I95" s="9">
        <v>-5.42</v>
      </c>
      <c r="J95" s="9">
        <v>0</v>
      </c>
      <c r="K95" s="9">
        <v>1.4</v>
      </c>
      <c r="L95" s="9">
        <v>3.77</v>
      </c>
      <c r="M95" s="9">
        <v>992</v>
      </c>
      <c r="N95" s="9">
        <v>9.6999999999999993</v>
      </c>
      <c r="O95" s="9"/>
      <c r="P95" s="41">
        <v>17</v>
      </c>
    </row>
    <row r="96" spans="1:16" x14ac:dyDescent="0.3">
      <c r="A96" s="36"/>
      <c r="B96" s="37">
        <v>4.8909795969896885</v>
      </c>
      <c r="C96" s="9" t="s">
        <v>34</v>
      </c>
      <c r="D96" s="37">
        <v>77800</v>
      </c>
      <c r="E96" s="9">
        <v>1.65</v>
      </c>
      <c r="F96" s="9">
        <v>400.11</v>
      </c>
      <c r="G96" s="9">
        <v>0</v>
      </c>
      <c r="H96" s="9">
        <v>1</v>
      </c>
      <c r="I96" s="9">
        <v>-5</v>
      </c>
      <c r="J96" s="9">
        <v>0</v>
      </c>
      <c r="K96" s="9">
        <v>1.52</v>
      </c>
      <c r="L96" s="9">
        <v>3.3</v>
      </c>
      <c r="M96" s="9">
        <v>992</v>
      </c>
      <c r="N96" s="9">
        <v>9.6999999999999993</v>
      </c>
      <c r="O96" s="9"/>
      <c r="P96" s="41">
        <v>17</v>
      </c>
    </row>
    <row r="97" spans="1:16" x14ac:dyDescent="0.3">
      <c r="A97" s="36"/>
      <c r="B97" s="37">
        <v>4.008600171761918</v>
      </c>
      <c r="C97" s="9" t="s">
        <v>29</v>
      </c>
      <c r="D97" s="37">
        <v>10200</v>
      </c>
      <c r="E97" s="9">
        <v>-0.54</v>
      </c>
      <c r="F97" s="9">
        <v>264.05</v>
      </c>
      <c r="G97" s="9">
        <v>0</v>
      </c>
      <c r="H97" s="9">
        <v>1</v>
      </c>
      <c r="I97" s="9">
        <v>-3.72</v>
      </c>
      <c r="J97" s="9">
        <v>0</v>
      </c>
      <c r="K97" s="9">
        <v>1.05</v>
      </c>
      <c r="L97" s="9">
        <v>2.4300000000000002</v>
      </c>
      <c r="M97" s="9">
        <v>840</v>
      </c>
      <c r="N97" s="9">
        <v>9.6999999999999993</v>
      </c>
      <c r="O97" s="9"/>
      <c r="P97" s="41">
        <v>17</v>
      </c>
    </row>
    <row r="98" spans="1:16" x14ac:dyDescent="0.3">
      <c r="A98" s="36"/>
      <c r="B98" s="37">
        <v>4.503790683057181</v>
      </c>
      <c r="C98" s="9" t="s">
        <v>2</v>
      </c>
      <c r="D98" s="37">
        <v>31900</v>
      </c>
      <c r="E98" s="9">
        <v>0.251</v>
      </c>
      <c r="F98" s="9">
        <v>299.10000000000002</v>
      </c>
      <c r="G98" s="9">
        <v>0</v>
      </c>
      <c r="H98" s="9">
        <v>1</v>
      </c>
      <c r="I98" s="9">
        <v>-3.36</v>
      </c>
      <c r="J98" s="9">
        <v>0</v>
      </c>
      <c r="K98" s="38">
        <v>1.1711</v>
      </c>
      <c r="L98" s="9">
        <v>2.2599999999999998</v>
      </c>
      <c r="M98" s="9">
        <v>840</v>
      </c>
      <c r="N98" s="9">
        <v>9.6999999999999993</v>
      </c>
      <c r="O98" s="9"/>
      <c r="P98" s="41">
        <v>17</v>
      </c>
    </row>
    <row r="99" spans="1:16" x14ac:dyDescent="0.3">
      <c r="A99" s="36"/>
      <c r="B99" s="37">
        <v>4.3096301674258983</v>
      </c>
      <c r="C99" s="9" t="s">
        <v>30</v>
      </c>
      <c r="D99" s="37">
        <v>20400</v>
      </c>
      <c r="E99" s="9">
        <v>0.18</v>
      </c>
      <c r="F99" s="9">
        <v>314.05</v>
      </c>
      <c r="G99" s="9">
        <v>0</v>
      </c>
      <c r="H99" s="9">
        <v>1</v>
      </c>
      <c r="I99" s="9">
        <v>-4.59</v>
      </c>
      <c r="J99" s="9">
        <v>0</v>
      </c>
      <c r="K99" s="9">
        <v>1.22</v>
      </c>
      <c r="L99" s="9">
        <v>2.4500000000000002</v>
      </c>
      <c r="M99" s="9">
        <v>840</v>
      </c>
      <c r="N99" s="9">
        <v>9.6999999999999993</v>
      </c>
      <c r="O99" s="9"/>
      <c r="P99" s="41">
        <v>17</v>
      </c>
    </row>
    <row r="100" spans="1:16" x14ac:dyDescent="0.3">
      <c r="A100" s="36"/>
      <c r="B100" s="37">
        <v>4.3856062735983121</v>
      </c>
      <c r="C100" s="9" t="s">
        <v>31</v>
      </c>
      <c r="D100" s="37">
        <v>24300</v>
      </c>
      <c r="E100" s="9">
        <v>0.88</v>
      </c>
      <c r="F100" s="9">
        <v>364.06</v>
      </c>
      <c r="G100" s="9">
        <v>0</v>
      </c>
      <c r="H100" s="9">
        <v>1</v>
      </c>
      <c r="I100" s="9">
        <v>-5.42</v>
      </c>
      <c r="J100" s="9">
        <v>0</v>
      </c>
      <c r="K100" s="9">
        <v>1.4</v>
      </c>
      <c r="L100" s="9">
        <v>3.77</v>
      </c>
      <c r="M100" s="9">
        <v>840</v>
      </c>
      <c r="N100" s="9">
        <v>9.6999999999999993</v>
      </c>
      <c r="O100" s="9"/>
      <c r="P100" s="41">
        <v>17</v>
      </c>
    </row>
    <row r="101" spans="1:16" x14ac:dyDescent="0.3">
      <c r="A101" s="36"/>
      <c r="B101" s="37">
        <v>4.7701152947871019</v>
      </c>
      <c r="C101" s="9" t="s">
        <v>34</v>
      </c>
      <c r="D101" s="37">
        <v>58900</v>
      </c>
      <c r="E101" s="9">
        <v>1.65</v>
      </c>
      <c r="F101" s="9">
        <v>400.11</v>
      </c>
      <c r="G101" s="9">
        <v>0</v>
      </c>
      <c r="H101" s="9">
        <v>1</v>
      </c>
      <c r="I101" s="9">
        <v>-5</v>
      </c>
      <c r="J101" s="9">
        <v>0</v>
      </c>
      <c r="K101" s="9">
        <v>1.52</v>
      </c>
      <c r="L101" s="9">
        <v>3.3</v>
      </c>
      <c r="M101" s="9">
        <v>840</v>
      </c>
      <c r="N101" s="9">
        <v>9.6999999999999993</v>
      </c>
      <c r="O101" s="9"/>
      <c r="P101" s="41">
        <v>17</v>
      </c>
    </row>
    <row r="102" spans="1:16" x14ac:dyDescent="0.3">
      <c r="A102" s="36"/>
      <c r="B102" s="37">
        <v>4.143014800254095</v>
      </c>
      <c r="C102" s="9" t="s">
        <v>29</v>
      </c>
      <c r="D102" s="37">
        <v>13900</v>
      </c>
      <c r="E102" s="9">
        <v>-0.54</v>
      </c>
      <c r="F102" s="9">
        <v>264.05</v>
      </c>
      <c r="G102" s="9">
        <v>0</v>
      </c>
      <c r="H102" s="9">
        <v>1</v>
      </c>
      <c r="I102" s="9">
        <v>-3.72</v>
      </c>
      <c r="J102" s="9">
        <v>0</v>
      </c>
      <c r="K102" s="9">
        <v>1.05</v>
      </c>
      <c r="L102" s="9">
        <v>2.4300000000000002</v>
      </c>
      <c r="M102" s="9">
        <v>897</v>
      </c>
      <c r="N102" s="9">
        <v>9.8000000000000007</v>
      </c>
      <c r="O102" s="9"/>
      <c r="P102" s="41">
        <v>17</v>
      </c>
    </row>
    <row r="103" spans="1:16" x14ac:dyDescent="0.3">
      <c r="A103" s="36"/>
      <c r="B103" s="37">
        <v>4.509202522331103</v>
      </c>
      <c r="C103" s="9" t="s">
        <v>2</v>
      </c>
      <c r="D103" s="37">
        <v>32299.999999999996</v>
      </c>
      <c r="E103" s="9">
        <v>0.251</v>
      </c>
      <c r="F103" s="9">
        <v>299.10000000000002</v>
      </c>
      <c r="G103" s="9">
        <v>0</v>
      </c>
      <c r="H103" s="9">
        <v>1</v>
      </c>
      <c r="I103" s="9">
        <v>-3.36</v>
      </c>
      <c r="J103" s="9">
        <v>0</v>
      </c>
      <c r="K103" s="38">
        <v>1.1711</v>
      </c>
      <c r="L103" s="9">
        <v>2.2599999999999998</v>
      </c>
      <c r="M103" s="9">
        <v>897</v>
      </c>
      <c r="N103" s="9">
        <v>9.8000000000000007</v>
      </c>
      <c r="O103" s="9"/>
      <c r="P103" s="41">
        <v>17</v>
      </c>
    </row>
    <row r="104" spans="1:16" x14ac:dyDescent="0.3">
      <c r="A104" s="36"/>
      <c r="B104" s="37">
        <v>4.363611979892144</v>
      </c>
      <c r="C104" s="9" t="s">
        <v>30</v>
      </c>
      <c r="D104" s="37">
        <v>23100</v>
      </c>
      <c r="E104" s="9">
        <v>0.18</v>
      </c>
      <c r="F104" s="9">
        <v>314.05</v>
      </c>
      <c r="G104" s="9">
        <v>0</v>
      </c>
      <c r="H104" s="9">
        <v>1</v>
      </c>
      <c r="I104" s="9">
        <v>-4.59</v>
      </c>
      <c r="J104" s="9">
        <v>0</v>
      </c>
      <c r="K104" s="9">
        <v>1.22</v>
      </c>
      <c r="L104" s="9">
        <v>2.4500000000000002</v>
      </c>
      <c r="M104" s="9">
        <v>897</v>
      </c>
      <c r="N104" s="9">
        <v>9.8000000000000007</v>
      </c>
      <c r="O104" s="9"/>
      <c r="P104" s="41">
        <v>17</v>
      </c>
    </row>
    <row r="105" spans="1:16" x14ac:dyDescent="0.3">
      <c r="A105" s="36"/>
      <c r="B105" s="37">
        <v>4.4996870826184034</v>
      </c>
      <c r="C105" s="9" t="s">
        <v>31</v>
      </c>
      <c r="D105" s="37">
        <v>31600</v>
      </c>
      <c r="E105" s="9">
        <v>0.88</v>
      </c>
      <c r="F105" s="9">
        <v>364.06</v>
      </c>
      <c r="G105" s="9">
        <v>0</v>
      </c>
      <c r="H105" s="9">
        <v>1</v>
      </c>
      <c r="I105" s="9">
        <v>-5.42</v>
      </c>
      <c r="J105" s="9">
        <v>0</v>
      </c>
      <c r="K105" s="9">
        <v>1.4</v>
      </c>
      <c r="L105" s="9">
        <v>3.77</v>
      </c>
      <c r="M105" s="9">
        <v>897</v>
      </c>
      <c r="N105" s="9">
        <v>9.8000000000000007</v>
      </c>
      <c r="O105" s="9"/>
      <c r="P105" s="41">
        <v>17</v>
      </c>
    </row>
    <row r="106" spans="1:16" x14ac:dyDescent="0.3">
      <c r="A106" s="36"/>
      <c r="B106" s="37">
        <v>4.8155777483242677</v>
      </c>
      <c r="C106" s="9" t="s">
        <v>34</v>
      </c>
      <c r="D106" s="37">
        <v>65400.000000000007</v>
      </c>
      <c r="E106" s="9">
        <v>1.65</v>
      </c>
      <c r="F106" s="9">
        <v>400.11</v>
      </c>
      <c r="G106" s="9">
        <v>0</v>
      </c>
      <c r="H106" s="9">
        <v>1</v>
      </c>
      <c r="I106" s="9">
        <v>-5</v>
      </c>
      <c r="J106" s="9">
        <v>0</v>
      </c>
      <c r="K106" s="9">
        <v>1.52</v>
      </c>
      <c r="L106" s="9">
        <v>3.3</v>
      </c>
      <c r="M106" s="9">
        <v>897</v>
      </c>
      <c r="N106" s="9">
        <v>9.8000000000000007</v>
      </c>
      <c r="O106" s="9"/>
      <c r="P106" s="41">
        <v>17</v>
      </c>
    </row>
    <row r="107" spans="1:16" x14ac:dyDescent="0.3">
      <c r="A107" s="36"/>
      <c r="B107" s="37">
        <v>5.357934847000454</v>
      </c>
      <c r="C107" s="9" t="s">
        <v>29</v>
      </c>
      <c r="D107" s="37">
        <v>228000</v>
      </c>
      <c r="E107" s="9">
        <v>-0.54</v>
      </c>
      <c r="F107" s="9">
        <v>264.05</v>
      </c>
      <c r="G107" s="9">
        <v>0</v>
      </c>
      <c r="H107" s="9">
        <v>1</v>
      </c>
      <c r="I107" s="9">
        <v>-3.72</v>
      </c>
      <c r="J107" s="9">
        <v>0</v>
      </c>
      <c r="K107" s="9">
        <v>1.05</v>
      </c>
      <c r="L107" s="9">
        <v>2.4300000000000002</v>
      </c>
      <c r="M107" s="9">
        <v>958</v>
      </c>
      <c r="N107" s="9">
        <v>9.81</v>
      </c>
      <c r="O107" s="9">
        <v>1.44</v>
      </c>
      <c r="P107" s="41">
        <v>18</v>
      </c>
    </row>
    <row r="108" spans="1:16" x14ac:dyDescent="0.3">
      <c r="A108" s="36"/>
      <c r="B108" s="37">
        <v>6.1613680022349753</v>
      </c>
      <c r="C108" s="9" t="s">
        <v>34</v>
      </c>
      <c r="D108" s="37">
        <v>1450000</v>
      </c>
      <c r="E108" s="9">
        <v>1.65</v>
      </c>
      <c r="F108" s="9">
        <v>400.11</v>
      </c>
      <c r="G108" s="9">
        <v>0</v>
      </c>
      <c r="H108" s="9">
        <v>1</v>
      </c>
      <c r="I108" s="9">
        <v>-5</v>
      </c>
      <c r="J108" s="9">
        <v>0</v>
      </c>
      <c r="K108" s="9">
        <v>1.52</v>
      </c>
      <c r="L108" s="9">
        <v>3.3</v>
      </c>
      <c r="M108" s="9">
        <v>958</v>
      </c>
      <c r="N108" s="9">
        <v>9.81</v>
      </c>
      <c r="O108" s="9">
        <v>1.44</v>
      </c>
      <c r="P108" s="41">
        <v>18</v>
      </c>
    </row>
    <row r="109" spans="1:16" x14ac:dyDescent="0.3">
      <c r="A109" s="36"/>
      <c r="B109" s="37">
        <v>5.8432327780980096</v>
      </c>
      <c r="C109" s="9" t="s">
        <v>31</v>
      </c>
      <c r="D109" s="37">
        <v>697000</v>
      </c>
      <c r="E109" s="9">
        <v>0.88</v>
      </c>
      <c r="F109" s="9">
        <v>364.06</v>
      </c>
      <c r="G109" s="9">
        <v>0</v>
      </c>
      <c r="H109" s="9">
        <v>1</v>
      </c>
      <c r="I109" s="9">
        <v>-5.42</v>
      </c>
      <c r="J109" s="9">
        <v>0</v>
      </c>
      <c r="K109" s="9">
        <v>1.4</v>
      </c>
      <c r="L109" s="9">
        <v>3.77</v>
      </c>
      <c r="M109" s="9">
        <v>958</v>
      </c>
      <c r="N109" s="9">
        <v>9.81</v>
      </c>
      <c r="O109" s="9">
        <v>1.44</v>
      </c>
      <c r="P109" s="41">
        <v>18</v>
      </c>
    </row>
    <row r="110" spans="1:16" x14ac:dyDescent="0.3">
      <c r="A110" s="36"/>
      <c r="B110" s="37">
        <v>5.6314437690131722</v>
      </c>
      <c r="C110" s="9" t="s">
        <v>30</v>
      </c>
      <c r="D110" s="37">
        <v>428000</v>
      </c>
      <c r="E110" s="9">
        <v>0.18</v>
      </c>
      <c r="F110" s="9">
        <v>314.05</v>
      </c>
      <c r="G110" s="9">
        <v>0</v>
      </c>
      <c r="H110" s="9">
        <v>1</v>
      </c>
      <c r="I110" s="9">
        <v>-4.59</v>
      </c>
      <c r="J110" s="9">
        <v>0</v>
      </c>
      <c r="K110" s="9">
        <v>1.22</v>
      </c>
      <c r="L110" s="9">
        <v>2.4500000000000002</v>
      </c>
      <c r="M110" s="9">
        <v>958</v>
      </c>
      <c r="N110" s="9">
        <v>9.81</v>
      </c>
      <c r="O110" s="9">
        <v>1.44</v>
      </c>
      <c r="P110" s="41">
        <v>18</v>
      </c>
    </row>
    <row r="111" spans="1:16" x14ac:dyDescent="0.3">
      <c r="A111" s="36"/>
      <c r="B111" s="37">
        <v>5.4653828514484184</v>
      </c>
      <c r="C111" s="9" t="s">
        <v>92</v>
      </c>
      <c r="D111" s="37">
        <v>292000</v>
      </c>
      <c r="E111" s="9">
        <v>-4.5</v>
      </c>
      <c r="F111" s="9">
        <v>290.06</v>
      </c>
      <c r="G111" s="9">
        <v>0</v>
      </c>
      <c r="H111" s="9">
        <v>1</v>
      </c>
      <c r="I111" s="9">
        <v>-3.39</v>
      </c>
      <c r="J111" s="9">
        <v>0</v>
      </c>
      <c r="K111" s="9">
        <v>1.6</v>
      </c>
      <c r="L111" s="9">
        <v>2.96</v>
      </c>
      <c r="M111" s="9">
        <v>958</v>
      </c>
      <c r="N111" s="9">
        <v>9.81</v>
      </c>
      <c r="O111" s="9">
        <v>1.44</v>
      </c>
      <c r="P111" s="41">
        <v>18</v>
      </c>
    </row>
    <row r="112" spans="1:16" x14ac:dyDescent="0.3">
      <c r="A112" s="36"/>
      <c r="B112" s="37">
        <v>5.8481891169913984</v>
      </c>
      <c r="C112" s="9" t="s">
        <v>2</v>
      </c>
      <c r="D112" s="37">
        <v>705000</v>
      </c>
      <c r="E112" s="9">
        <v>0.251</v>
      </c>
      <c r="F112" s="9">
        <v>299.10000000000002</v>
      </c>
      <c r="G112" s="9">
        <v>0</v>
      </c>
      <c r="H112" s="9">
        <v>1</v>
      </c>
      <c r="I112" s="9">
        <v>-3.36</v>
      </c>
      <c r="J112" s="9">
        <v>0</v>
      </c>
      <c r="K112" s="38">
        <v>1.1711</v>
      </c>
      <c r="L112" s="9">
        <v>2.2599999999999998</v>
      </c>
      <c r="M112" s="9">
        <v>958</v>
      </c>
      <c r="N112" s="9">
        <v>9.81</v>
      </c>
      <c r="O112" s="9">
        <v>1.44</v>
      </c>
      <c r="P112" s="41">
        <v>18</v>
      </c>
    </row>
    <row r="113" spans="1:16" x14ac:dyDescent="0.3">
      <c r="A113" s="36"/>
      <c r="B113" s="37">
        <v>4.9513375187959179</v>
      </c>
      <c r="C113" s="9" t="s">
        <v>29</v>
      </c>
      <c r="D113" s="37">
        <v>89400</v>
      </c>
      <c r="E113" s="9">
        <v>-0.54</v>
      </c>
      <c r="F113" s="9">
        <v>264.05</v>
      </c>
      <c r="G113" s="9">
        <v>0</v>
      </c>
      <c r="H113" s="9">
        <v>1</v>
      </c>
      <c r="I113" s="9">
        <v>-3.72</v>
      </c>
      <c r="J113" s="9">
        <v>0</v>
      </c>
      <c r="K113" s="9">
        <v>1.05</v>
      </c>
      <c r="L113" s="9">
        <v>2.4300000000000002</v>
      </c>
      <c r="M113" s="9">
        <v>1004</v>
      </c>
      <c r="N113" s="9">
        <v>5.95</v>
      </c>
      <c r="O113" s="9">
        <v>3.5</v>
      </c>
      <c r="P113" s="41">
        <v>18</v>
      </c>
    </row>
    <row r="114" spans="1:16" x14ac:dyDescent="0.3">
      <c r="A114" s="36"/>
      <c r="B114" s="37">
        <v>5.0863598306747484</v>
      </c>
      <c r="C114" s="9" t="s">
        <v>30</v>
      </c>
      <c r="D114" s="37">
        <v>122000</v>
      </c>
      <c r="E114" s="9">
        <v>0.18</v>
      </c>
      <c r="F114" s="9">
        <v>314.05</v>
      </c>
      <c r="G114" s="9">
        <v>0</v>
      </c>
      <c r="H114" s="9">
        <v>1</v>
      </c>
      <c r="I114" s="9">
        <v>-4.59</v>
      </c>
      <c r="J114" s="9">
        <v>0</v>
      </c>
      <c r="K114" s="9">
        <v>1.22</v>
      </c>
      <c r="L114" s="9">
        <v>2.4500000000000002</v>
      </c>
      <c r="M114" s="9">
        <v>1004</v>
      </c>
      <c r="N114" s="9">
        <v>5.95</v>
      </c>
      <c r="O114" s="9">
        <v>3.5</v>
      </c>
      <c r="P114" s="41">
        <v>18</v>
      </c>
    </row>
    <row r="115" spans="1:16" x14ac:dyDescent="0.3">
      <c r="A115" s="36"/>
      <c r="B115" s="37">
        <v>5.1522883443830567</v>
      </c>
      <c r="C115" s="9" t="s">
        <v>2</v>
      </c>
      <c r="D115" s="37">
        <v>142000</v>
      </c>
      <c r="E115" s="9">
        <v>0.251</v>
      </c>
      <c r="F115" s="9">
        <v>299.10000000000002</v>
      </c>
      <c r="G115" s="9">
        <v>0</v>
      </c>
      <c r="H115" s="9">
        <v>1</v>
      </c>
      <c r="I115" s="9">
        <v>-3.36</v>
      </c>
      <c r="J115" s="9">
        <v>0</v>
      </c>
      <c r="K115" s="38">
        <v>1.1711</v>
      </c>
      <c r="L115" s="9">
        <v>2.2599999999999998</v>
      </c>
      <c r="M115" s="9">
        <v>1004</v>
      </c>
      <c r="N115" s="9">
        <v>5.95</v>
      </c>
      <c r="O115" s="9">
        <v>3.5</v>
      </c>
      <c r="P115" s="41">
        <v>18</v>
      </c>
    </row>
    <row r="116" spans="1:16" x14ac:dyDescent="0.3">
      <c r="A116" s="36"/>
      <c r="B116" s="37">
        <v>5.2355284469075487</v>
      </c>
      <c r="C116" s="9" t="s">
        <v>92</v>
      </c>
      <c r="D116" s="37">
        <v>172000</v>
      </c>
      <c r="E116" s="9">
        <v>-4.5</v>
      </c>
      <c r="F116" s="9">
        <v>290.06</v>
      </c>
      <c r="G116" s="9">
        <v>0</v>
      </c>
      <c r="H116" s="9">
        <v>1</v>
      </c>
      <c r="I116" s="9">
        <v>-3.39</v>
      </c>
      <c r="J116" s="9">
        <v>0</v>
      </c>
      <c r="K116" s="9">
        <v>1.6</v>
      </c>
      <c r="L116" s="9">
        <v>2.96</v>
      </c>
      <c r="M116" s="9">
        <v>1004</v>
      </c>
      <c r="N116" s="9">
        <v>5.95</v>
      </c>
      <c r="O116" s="9">
        <v>3.5</v>
      </c>
      <c r="P116" s="41">
        <v>18</v>
      </c>
    </row>
    <row r="117" spans="1:16" x14ac:dyDescent="0.3">
      <c r="A117" s="36"/>
      <c r="B117" s="37">
        <v>5.3053513694466234</v>
      </c>
      <c r="C117" s="9" t="s">
        <v>31</v>
      </c>
      <c r="D117" s="37">
        <v>202000</v>
      </c>
      <c r="E117" s="9">
        <v>0.88</v>
      </c>
      <c r="F117" s="9">
        <v>364.06</v>
      </c>
      <c r="G117" s="9">
        <v>0</v>
      </c>
      <c r="H117" s="9">
        <v>1</v>
      </c>
      <c r="I117" s="9">
        <v>-5.42</v>
      </c>
      <c r="J117" s="9">
        <v>0</v>
      </c>
      <c r="K117" s="9">
        <v>1.4</v>
      </c>
      <c r="L117" s="9">
        <v>3.77</v>
      </c>
      <c r="M117" s="9">
        <v>1004</v>
      </c>
      <c r="N117" s="9">
        <v>5.95</v>
      </c>
      <c r="O117" s="9">
        <v>3.5</v>
      </c>
      <c r="P117" s="41">
        <v>18</v>
      </c>
    </row>
    <row r="118" spans="1:16" x14ac:dyDescent="0.3">
      <c r="A118" s="36"/>
      <c r="B118" s="37">
        <v>5.6190933306267423</v>
      </c>
      <c r="C118" s="9" t="s">
        <v>34</v>
      </c>
      <c r="D118" s="37">
        <v>416000</v>
      </c>
      <c r="E118" s="9">
        <v>1.65</v>
      </c>
      <c r="F118" s="9">
        <v>400.11</v>
      </c>
      <c r="G118" s="9">
        <v>0</v>
      </c>
      <c r="H118" s="9">
        <v>1</v>
      </c>
      <c r="I118" s="9">
        <v>-5</v>
      </c>
      <c r="J118" s="9">
        <v>0</v>
      </c>
      <c r="K118" s="9">
        <v>1.52</v>
      </c>
      <c r="L118" s="9">
        <v>3.3</v>
      </c>
      <c r="M118" s="9">
        <v>1004</v>
      </c>
      <c r="N118" s="9">
        <v>5.95</v>
      </c>
      <c r="O118" s="9">
        <v>3.5</v>
      </c>
      <c r="P118" s="41">
        <v>18</v>
      </c>
    </row>
    <row r="119" spans="1:16" x14ac:dyDescent="0.3">
      <c r="A119" s="36"/>
      <c r="B119" s="37">
        <v>5.4281347940287885</v>
      </c>
      <c r="C119" s="9" t="s">
        <v>29</v>
      </c>
      <c r="D119" s="37">
        <v>268000</v>
      </c>
      <c r="E119" s="9">
        <v>-0.54</v>
      </c>
      <c r="F119" s="9">
        <v>264.05</v>
      </c>
      <c r="G119" s="9">
        <v>0</v>
      </c>
      <c r="H119" s="9">
        <v>1</v>
      </c>
      <c r="I119" s="9">
        <v>-3.72</v>
      </c>
      <c r="J119" s="9">
        <v>0</v>
      </c>
      <c r="K119" s="9">
        <v>1.05</v>
      </c>
      <c r="L119" s="9">
        <v>2.4300000000000002</v>
      </c>
      <c r="M119" s="9">
        <v>1099</v>
      </c>
      <c r="N119" s="9">
        <v>9.9</v>
      </c>
      <c r="O119" s="9">
        <v>0.53</v>
      </c>
      <c r="P119" s="41">
        <v>18</v>
      </c>
    </row>
    <row r="120" spans="1:16" x14ac:dyDescent="0.3">
      <c r="A120" s="36"/>
      <c r="B120" s="37">
        <v>5.5453071164658239</v>
      </c>
      <c r="C120" s="9" t="s">
        <v>30</v>
      </c>
      <c r="D120" s="37">
        <v>351000</v>
      </c>
      <c r="E120" s="9">
        <v>0.18</v>
      </c>
      <c r="F120" s="9">
        <v>314.05</v>
      </c>
      <c r="G120" s="9">
        <v>0</v>
      </c>
      <c r="H120" s="9">
        <v>1</v>
      </c>
      <c r="I120" s="9">
        <v>-4.59</v>
      </c>
      <c r="J120" s="9">
        <v>0</v>
      </c>
      <c r="K120" s="9">
        <v>1.22</v>
      </c>
      <c r="L120" s="9">
        <v>2.4500000000000002</v>
      </c>
      <c r="M120" s="9">
        <v>1099</v>
      </c>
      <c r="N120" s="9">
        <v>9.9</v>
      </c>
      <c r="O120" s="9">
        <v>0.53</v>
      </c>
      <c r="P120" s="41">
        <v>18</v>
      </c>
    </row>
    <row r="121" spans="1:16" x14ac:dyDescent="0.3">
      <c r="A121" s="36"/>
      <c r="B121" s="37">
        <v>6.0588054866759071</v>
      </c>
      <c r="C121" s="9" t="s">
        <v>2</v>
      </c>
      <c r="D121" s="37">
        <v>1145000</v>
      </c>
      <c r="E121" s="9">
        <v>0.251</v>
      </c>
      <c r="F121" s="9">
        <v>299.10000000000002</v>
      </c>
      <c r="G121" s="9">
        <v>0</v>
      </c>
      <c r="H121" s="9">
        <v>1</v>
      </c>
      <c r="I121" s="9">
        <v>-3.36</v>
      </c>
      <c r="J121" s="9">
        <v>0</v>
      </c>
      <c r="K121" s="38">
        <v>1.1711</v>
      </c>
      <c r="L121" s="9">
        <v>2.2599999999999998</v>
      </c>
      <c r="M121" s="9">
        <v>1099</v>
      </c>
      <c r="N121" s="9">
        <v>9.9</v>
      </c>
      <c r="O121" s="9">
        <v>0.53</v>
      </c>
      <c r="P121" s="41">
        <v>18</v>
      </c>
    </row>
    <row r="122" spans="1:16" x14ac:dyDescent="0.3">
      <c r="A122" s="36"/>
      <c r="B122" s="37">
        <v>6.0905754552222016</v>
      </c>
      <c r="C122" s="9" t="s">
        <v>92</v>
      </c>
      <c r="D122" s="37">
        <v>1231900</v>
      </c>
      <c r="E122" s="9">
        <v>-4.5</v>
      </c>
      <c r="F122" s="9">
        <v>290.06</v>
      </c>
      <c r="G122" s="9">
        <v>0</v>
      </c>
      <c r="H122" s="9">
        <v>1</v>
      </c>
      <c r="I122" s="9">
        <v>-3.39</v>
      </c>
      <c r="J122" s="9">
        <v>0</v>
      </c>
      <c r="K122" s="9">
        <v>1.6</v>
      </c>
      <c r="L122" s="9">
        <v>2.96</v>
      </c>
      <c r="M122" s="9">
        <v>1099</v>
      </c>
      <c r="N122" s="9">
        <v>9.9</v>
      </c>
      <c r="O122" s="9">
        <v>0.53</v>
      </c>
      <c r="P122" s="41">
        <v>18</v>
      </c>
    </row>
    <row r="123" spans="1:16" x14ac:dyDescent="0.3">
      <c r="A123" s="36"/>
      <c r="B123" s="37">
        <v>6.110252917353403</v>
      </c>
      <c r="C123" s="9" t="s">
        <v>31</v>
      </c>
      <c r="D123" s="37">
        <v>1289000</v>
      </c>
      <c r="E123" s="9">
        <v>0.88</v>
      </c>
      <c r="F123" s="9">
        <v>364.06</v>
      </c>
      <c r="G123" s="9">
        <v>0</v>
      </c>
      <c r="H123" s="9">
        <v>1</v>
      </c>
      <c r="I123" s="9">
        <v>-5.42</v>
      </c>
      <c r="J123" s="9">
        <v>0</v>
      </c>
      <c r="K123" s="9">
        <v>1.4</v>
      </c>
      <c r="L123" s="9">
        <v>3.77</v>
      </c>
      <c r="M123" s="9">
        <v>1099</v>
      </c>
      <c r="N123" s="9">
        <v>9.9</v>
      </c>
      <c r="O123" s="9">
        <v>0.53</v>
      </c>
      <c r="P123" s="41">
        <v>18</v>
      </c>
    </row>
    <row r="124" spans="1:16" x14ac:dyDescent="0.3">
      <c r="A124" s="36"/>
      <c r="B124" s="37">
        <v>6.2792105126013951</v>
      </c>
      <c r="C124" s="9" t="s">
        <v>34</v>
      </c>
      <c r="D124" s="37">
        <v>1902000</v>
      </c>
      <c r="E124" s="9">
        <v>1.65</v>
      </c>
      <c r="F124" s="9">
        <v>400.11</v>
      </c>
      <c r="G124" s="9">
        <v>0</v>
      </c>
      <c r="H124" s="9">
        <v>1</v>
      </c>
      <c r="I124" s="9">
        <v>-5</v>
      </c>
      <c r="J124" s="9">
        <v>0</v>
      </c>
      <c r="K124" s="9">
        <v>1.52</v>
      </c>
      <c r="L124" s="9">
        <v>3.3</v>
      </c>
      <c r="M124" s="9">
        <v>1099</v>
      </c>
      <c r="N124" s="9">
        <v>9.9</v>
      </c>
      <c r="O124" s="9">
        <v>0.53</v>
      </c>
      <c r="P124" s="41">
        <v>18</v>
      </c>
    </row>
    <row r="125" spans="1:16" x14ac:dyDescent="0.3">
      <c r="A125" s="36"/>
      <c r="B125" s="37">
        <v>6.2227164711475833</v>
      </c>
      <c r="C125" s="9" t="s">
        <v>29</v>
      </c>
      <c r="D125" s="37">
        <v>1670000</v>
      </c>
      <c r="E125" s="9">
        <v>-0.54</v>
      </c>
      <c r="F125" s="9">
        <v>264.05</v>
      </c>
      <c r="G125" s="9">
        <v>0</v>
      </c>
      <c r="H125" s="9">
        <v>1</v>
      </c>
      <c r="I125" s="9">
        <v>-3.72</v>
      </c>
      <c r="J125" s="9">
        <v>0</v>
      </c>
      <c r="K125" s="9">
        <v>1.05</v>
      </c>
      <c r="L125" s="9">
        <v>2.4300000000000002</v>
      </c>
      <c r="M125" s="9">
        <v>1079</v>
      </c>
      <c r="N125" s="9">
        <v>9.74</v>
      </c>
      <c r="O125" s="9">
        <v>0.61</v>
      </c>
      <c r="P125" s="41">
        <v>18</v>
      </c>
    </row>
    <row r="126" spans="1:16" x14ac:dyDescent="0.3">
      <c r="A126" s="36"/>
      <c r="B126" s="37">
        <v>6.5285310606354114</v>
      </c>
      <c r="C126" s="9" t="s">
        <v>30</v>
      </c>
      <c r="D126" s="37">
        <v>3377000</v>
      </c>
      <c r="E126" s="9">
        <v>0.18</v>
      </c>
      <c r="F126" s="9">
        <v>314.05</v>
      </c>
      <c r="G126" s="9">
        <v>0</v>
      </c>
      <c r="H126" s="9">
        <v>1</v>
      </c>
      <c r="I126" s="9">
        <v>-4.59</v>
      </c>
      <c r="J126" s="9">
        <v>0</v>
      </c>
      <c r="K126" s="9">
        <v>1.22</v>
      </c>
      <c r="L126" s="9">
        <v>2.4500000000000002</v>
      </c>
      <c r="M126" s="9">
        <v>1079</v>
      </c>
      <c r="N126" s="9">
        <v>9.74</v>
      </c>
      <c r="O126" s="9">
        <v>0.61</v>
      </c>
      <c r="P126" s="41">
        <v>18</v>
      </c>
    </row>
    <row r="127" spans="1:16" x14ac:dyDescent="0.3">
      <c r="A127" s="36"/>
      <c r="B127" s="37">
        <v>6.663700925389648</v>
      </c>
      <c r="C127" s="9" t="s">
        <v>2</v>
      </c>
      <c r="D127" s="37">
        <v>4610000</v>
      </c>
      <c r="E127" s="9">
        <v>0.251</v>
      </c>
      <c r="F127" s="9">
        <v>299.10000000000002</v>
      </c>
      <c r="G127" s="9">
        <v>0</v>
      </c>
      <c r="H127" s="9">
        <v>1</v>
      </c>
      <c r="I127" s="9">
        <v>-3.36</v>
      </c>
      <c r="J127" s="9">
        <v>0</v>
      </c>
      <c r="K127" s="38">
        <v>1.1711</v>
      </c>
      <c r="L127" s="9">
        <v>2.2599999999999998</v>
      </c>
      <c r="M127" s="9">
        <v>1079</v>
      </c>
      <c r="N127" s="9">
        <v>9.74</v>
      </c>
      <c r="O127" s="9">
        <v>0.61</v>
      </c>
      <c r="P127" s="41">
        <v>18</v>
      </c>
    </row>
    <row r="128" spans="1:16" x14ac:dyDescent="0.3">
      <c r="A128" s="36"/>
      <c r="B128" s="37">
        <v>6.1199154102579909</v>
      </c>
      <c r="C128" s="9" t="s">
        <v>92</v>
      </c>
      <c r="D128" s="37">
        <v>1318000</v>
      </c>
      <c r="E128" s="9">
        <v>-4.5</v>
      </c>
      <c r="F128" s="9">
        <v>290.06</v>
      </c>
      <c r="G128" s="9">
        <v>0</v>
      </c>
      <c r="H128" s="9">
        <v>1</v>
      </c>
      <c r="I128" s="9">
        <v>-3.39</v>
      </c>
      <c r="J128" s="9">
        <v>0</v>
      </c>
      <c r="K128" s="9">
        <v>1.6</v>
      </c>
      <c r="L128" s="9">
        <v>2.96</v>
      </c>
      <c r="M128" s="9">
        <v>1079</v>
      </c>
      <c r="N128" s="9">
        <v>9.74</v>
      </c>
      <c r="O128" s="9">
        <v>0.61</v>
      </c>
      <c r="P128" s="41">
        <v>18</v>
      </c>
    </row>
    <row r="129" spans="1:16" x14ac:dyDescent="0.3">
      <c r="A129" s="36"/>
      <c r="B129" s="37">
        <v>6.7313469755459545</v>
      </c>
      <c r="C129" s="9" t="s">
        <v>31</v>
      </c>
      <c r="D129" s="37">
        <v>5387000</v>
      </c>
      <c r="E129" s="9">
        <v>0.88</v>
      </c>
      <c r="F129" s="9">
        <v>364.06</v>
      </c>
      <c r="G129" s="9">
        <v>0</v>
      </c>
      <c r="H129" s="9">
        <v>1</v>
      </c>
      <c r="I129" s="9">
        <v>-5.42</v>
      </c>
      <c r="J129" s="9">
        <v>0</v>
      </c>
      <c r="K129" s="9">
        <v>1.4</v>
      </c>
      <c r="L129" s="9">
        <v>3.77</v>
      </c>
      <c r="M129" s="9">
        <v>1079</v>
      </c>
      <c r="N129" s="9">
        <v>9.74</v>
      </c>
      <c r="O129" s="9">
        <v>0.61</v>
      </c>
      <c r="P129" s="41">
        <v>18</v>
      </c>
    </row>
    <row r="130" spans="1:16" x14ac:dyDescent="0.3">
      <c r="A130" s="36"/>
      <c r="B130" s="37">
        <v>6.8234090148925448</v>
      </c>
      <c r="C130" s="9" t="s">
        <v>34</v>
      </c>
      <c r="D130" s="37">
        <v>6659000</v>
      </c>
      <c r="E130" s="9">
        <v>1.65</v>
      </c>
      <c r="F130" s="9">
        <v>400.11</v>
      </c>
      <c r="G130" s="9">
        <v>0</v>
      </c>
      <c r="H130" s="9">
        <v>1</v>
      </c>
      <c r="I130" s="9">
        <v>-5</v>
      </c>
      <c r="J130" s="9">
        <v>0</v>
      </c>
      <c r="K130" s="9">
        <v>1.52</v>
      </c>
      <c r="L130" s="9">
        <v>3.3</v>
      </c>
      <c r="M130" s="9">
        <v>1079</v>
      </c>
      <c r="N130" s="9">
        <v>9.74</v>
      </c>
      <c r="O130" s="9">
        <v>0.61</v>
      </c>
      <c r="P130" s="41">
        <v>18</v>
      </c>
    </row>
    <row r="131" spans="1:16" x14ac:dyDescent="0.3">
      <c r="A131" s="36"/>
      <c r="B131" s="37">
        <v>6.2748503200166645</v>
      </c>
      <c r="C131" s="9" t="s">
        <v>30</v>
      </c>
      <c r="D131" s="37">
        <v>1883000</v>
      </c>
      <c r="E131" s="9">
        <v>0.18</v>
      </c>
      <c r="F131" s="9">
        <v>314.05</v>
      </c>
      <c r="G131" s="9">
        <v>0</v>
      </c>
      <c r="H131" s="9">
        <v>1</v>
      </c>
      <c r="I131" s="9">
        <v>-4.59</v>
      </c>
      <c r="J131" s="9">
        <v>0</v>
      </c>
      <c r="K131" s="9">
        <v>1.22</v>
      </c>
      <c r="L131" s="9">
        <v>2.4500000000000002</v>
      </c>
      <c r="M131" s="9">
        <v>1067</v>
      </c>
      <c r="N131" s="9">
        <v>8.8000000000000007</v>
      </c>
      <c r="O131" s="9">
        <v>7.8</v>
      </c>
      <c r="P131" s="41">
        <v>19</v>
      </c>
    </row>
    <row r="132" spans="1:16" x14ac:dyDescent="0.3">
      <c r="A132" s="36"/>
      <c r="B132" s="37">
        <v>6.1258064581395271</v>
      </c>
      <c r="C132" s="9" t="s">
        <v>2</v>
      </c>
      <c r="D132" s="37">
        <v>1336000</v>
      </c>
      <c r="E132" s="9">
        <v>0.251</v>
      </c>
      <c r="F132" s="9">
        <v>299.10000000000002</v>
      </c>
      <c r="G132" s="9">
        <v>0</v>
      </c>
      <c r="H132" s="9">
        <v>1</v>
      </c>
      <c r="I132" s="9">
        <v>-3.36</v>
      </c>
      <c r="J132" s="9">
        <v>0</v>
      </c>
      <c r="K132" s="38">
        <v>1.1711</v>
      </c>
      <c r="L132" s="9">
        <v>2.2599999999999998</v>
      </c>
      <c r="M132" s="9">
        <v>1067</v>
      </c>
      <c r="N132" s="9">
        <v>8.8000000000000007</v>
      </c>
      <c r="O132" s="9">
        <v>7.8</v>
      </c>
      <c r="P132" s="41">
        <v>19</v>
      </c>
    </row>
    <row r="133" spans="1:16" x14ac:dyDescent="0.3">
      <c r="A133" s="36"/>
      <c r="B133" s="37">
        <v>5.7259116322950483</v>
      </c>
      <c r="C133" s="9" t="s">
        <v>29</v>
      </c>
      <c r="D133" s="37">
        <v>532000</v>
      </c>
      <c r="E133" s="9">
        <v>-0.54</v>
      </c>
      <c r="F133" s="9">
        <v>264.05</v>
      </c>
      <c r="G133" s="9">
        <v>0</v>
      </c>
      <c r="H133" s="9">
        <v>1</v>
      </c>
      <c r="I133" s="9">
        <v>-3.72</v>
      </c>
      <c r="J133" s="9">
        <v>0</v>
      </c>
      <c r="K133" s="9">
        <v>1.05</v>
      </c>
      <c r="L133" s="9">
        <v>2.4300000000000002</v>
      </c>
      <c r="M133" s="9">
        <v>1067</v>
      </c>
      <c r="N133" s="9">
        <v>8.8000000000000007</v>
      </c>
      <c r="O133" s="9">
        <v>7.8</v>
      </c>
      <c r="P133" s="41">
        <v>19</v>
      </c>
    </row>
    <row r="134" spans="1:16" x14ac:dyDescent="0.3">
      <c r="A134" s="36"/>
      <c r="B134" s="37">
        <v>4.6830470382388496</v>
      </c>
      <c r="C134" s="9" t="s">
        <v>1</v>
      </c>
      <c r="D134" s="37">
        <v>48200</v>
      </c>
      <c r="E134" s="9">
        <v>-1.22</v>
      </c>
      <c r="F134" s="9">
        <v>214.03899999999999</v>
      </c>
      <c r="G134" s="9">
        <v>0</v>
      </c>
      <c r="H134" s="9">
        <v>1</v>
      </c>
      <c r="I134" s="9">
        <v>-2.82</v>
      </c>
      <c r="J134" s="9">
        <v>0</v>
      </c>
      <c r="K134" s="39">
        <v>0.87050000000000005</v>
      </c>
      <c r="L134" s="9">
        <v>1.81</v>
      </c>
      <c r="M134" s="9">
        <v>1067</v>
      </c>
      <c r="N134" s="9">
        <v>8.8000000000000007</v>
      </c>
      <c r="O134" s="9">
        <v>7.8</v>
      </c>
      <c r="P134" s="41">
        <v>19</v>
      </c>
    </row>
    <row r="135" spans="1:16" x14ac:dyDescent="0.3">
      <c r="A135" s="36"/>
      <c r="B135" s="37">
        <v>5.540329474790874</v>
      </c>
      <c r="C135" s="9" t="s">
        <v>30</v>
      </c>
      <c r="D135" s="37">
        <v>347000</v>
      </c>
      <c r="E135" s="9">
        <v>0.18</v>
      </c>
      <c r="F135" s="9">
        <v>314.05</v>
      </c>
      <c r="G135" s="9">
        <v>0</v>
      </c>
      <c r="H135" s="9">
        <v>1</v>
      </c>
      <c r="I135" s="9">
        <v>-4.59</v>
      </c>
      <c r="J135" s="9">
        <v>0</v>
      </c>
      <c r="K135" s="9">
        <v>1.22</v>
      </c>
      <c r="L135" s="9">
        <v>2.4500000000000002</v>
      </c>
      <c r="M135" s="9">
        <v>1064</v>
      </c>
      <c r="N135" s="9">
        <v>8.6999999999999993</v>
      </c>
      <c r="O135" s="9">
        <v>8.8000000000000007</v>
      </c>
      <c r="P135" s="41">
        <v>19</v>
      </c>
    </row>
    <row r="136" spans="1:16" x14ac:dyDescent="0.3">
      <c r="A136" s="36"/>
      <c r="B136" s="37">
        <v>5.2900346113625183</v>
      </c>
      <c r="C136" s="9" t="s">
        <v>2</v>
      </c>
      <c r="D136" s="37">
        <v>195000</v>
      </c>
      <c r="E136" s="9">
        <v>0.251</v>
      </c>
      <c r="F136" s="9">
        <v>299.10000000000002</v>
      </c>
      <c r="G136" s="9">
        <v>0</v>
      </c>
      <c r="H136" s="9">
        <v>1</v>
      </c>
      <c r="I136" s="9">
        <v>-3.36</v>
      </c>
      <c r="J136" s="9">
        <v>0</v>
      </c>
      <c r="K136" s="38">
        <v>1.1711</v>
      </c>
      <c r="L136" s="9">
        <v>2.2599999999999998</v>
      </c>
      <c r="M136" s="9">
        <v>1064</v>
      </c>
      <c r="N136" s="9">
        <v>8.6999999999999993</v>
      </c>
      <c r="O136" s="9">
        <v>8.8000000000000007</v>
      </c>
      <c r="P136" s="41">
        <v>19</v>
      </c>
    </row>
    <row r="137" spans="1:16" x14ac:dyDescent="0.3">
      <c r="A137" s="36"/>
      <c r="B137" s="37">
        <v>4.4502491083193609</v>
      </c>
      <c r="C137" s="9" t="s">
        <v>29</v>
      </c>
      <c r="D137" s="37">
        <v>28200</v>
      </c>
      <c r="E137" s="9">
        <v>-0.54</v>
      </c>
      <c r="F137" s="9">
        <v>264.05</v>
      </c>
      <c r="G137" s="9">
        <v>0</v>
      </c>
      <c r="H137" s="9">
        <v>1</v>
      </c>
      <c r="I137" s="9">
        <v>-3.72</v>
      </c>
      <c r="J137" s="9">
        <v>0</v>
      </c>
      <c r="K137" s="9">
        <v>1.05</v>
      </c>
      <c r="L137" s="9">
        <v>2.4300000000000002</v>
      </c>
      <c r="M137" s="9">
        <v>1064</v>
      </c>
      <c r="N137" s="9">
        <v>8.6999999999999993</v>
      </c>
      <c r="O137" s="9">
        <v>8.8000000000000007</v>
      </c>
      <c r="P137" s="41">
        <v>19</v>
      </c>
    </row>
    <row r="138" spans="1:16" x14ac:dyDescent="0.3">
      <c r="A138" s="36"/>
      <c r="B138" s="37">
        <v>4.0170333392987807</v>
      </c>
      <c r="C138" s="9" t="s">
        <v>1</v>
      </c>
      <c r="D138" s="37">
        <v>10400</v>
      </c>
      <c r="E138" s="9">
        <v>-1.22</v>
      </c>
      <c r="F138" s="9">
        <v>214.03899999999999</v>
      </c>
      <c r="G138" s="9">
        <v>0</v>
      </c>
      <c r="H138" s="9">
        <v>1</v>
      </c>
      <c r="I138" s="9">
        <v>-2.82</v>
      </c>
      <c r="J138" s="9">
        <v>0</v>
      </c>
      <c r="K138" s="39">
        <v>0.87050000000000005</v>
      </c>
      <c r="L138" s="9">
        <v>1.81</v>
      </c>
      <c r="M138" s="9">
        <v>1064</v>
      </c>
      <c r="N138" s="9">
        <v>8.6999999999999993</v>
      </c>
      <c r="O138" s="9">
        <v>8.8000000000000007</v>
      </c>
      <c r="P138" s="41">
        <v>19</v>
      </c>
    </row>
    <row r="139" spans="1:16" x14ac:dyDescent="0.3">
      <c r="A139" s="36"/>
      <c r="B139" s="37">
        <v>5.6242820958356683</v>
      </c>
      <c r="C139" s="9" t="s">
        <v>30</v>
      </c>
      <c r="D139" s="37">
        <v>421000</v>
      </c>
      <c r="E139" s="9">
        <v>0.18</v>
      </c>
      <c r="F139" s="9">
        <v>314.05</v>
      </c>
      <c r="G139" s="9">
        <v>0</v>
      </c>
      <c r="H139" s="9">
        <v>1</v>
      </c>
      <c r="I139" s="9">
        <v>-4.59</v>
      </c>
      <c r="J139" s="9">
        <v>0</v>
      </c>
      <c r="K139" s="9">
        <v>1.22</v>
      </c>
      <c r="L139" s="9">
        <v>2.4500000000000002</v>
      </c>
      <c r="M139" s="9">
        <v>1086</v>
      </c>
      <c r="N139" s="9">
        <v>7.9</v>
      </c>
      <c r="O139" s="9">
        <v>9.3000000000000007</v>
      </c>
      <c r="P139" s="41">
        <v>19</v>
      </c>
    </row>
    <row r="140" spans="1:16" x14ac:dyDescent="0.3">
      <c r="A140" s="36"/>
      <c r="B140" s="37">
        <v>5.2304489213782741</v>
      </c>
      <c r="C140" s="9" t="s">
        <v>2</v>
      </c>
      <c r="D140" s="37">
        <v>170000</v>
      </c>
      <c r="E140" s="9">
        <v>0.251</v>
      </c>
      <c r="F140" s="9">
        <v>299.10000000000002</v>
      </c>
      <c r="G140" s="9">
        <v>0</v>
      </c>
      <c r="H140" s="9">
        <v>1</v>
      </c>
      <c r="I140" s="9">
        <v>-3.36</v>
      </c>
      <c r="J140" s="9">
        <v>0</v>
      </c>
      <c r="K140" s="38">
        <v>1.1711</v>
      </c>
      <c r="L140" s="9">
        <v>2.2599999999999998</v>
      </c>
      <c r="M140" s="9">
        <v>1086</v>
      </c>
      <c r="N140" s="9">
        <v>7.9</v>
      </c>
      <c r="O140" s="9">
        <v>9.3000000000000007</v>
      </c>
      <c r="P140" s="41">
        <v>19</v>
      </c>
    </row>
    <row r="141" spans="1:16" x14ac:dyDescent="0.3">
      <c r="A141" s="36"/>
      <c r="B141" s="37">
        <v>4.2787536009528289</v>
      </c>
      <c r="C141" s="9" t="s">
        <v>29</v>
      </c>
      <c r="D141" s="37">
        <v>19000</v>
      </c>
      <c r="E141" s="9">
        <v>-0.54</v>
      </c>
      <c r="F141" s="9">
        <v>264.05</v>
      </c>
      <c r="G141" s="9">
        <v>0</v>
      </c>
      <c r="H141" s="9">
        <v>1</v>
      </c>
      <c r="I141" s="9">
        <v>-3.72</v>
      </c>
      <c r="J141" s="9">
        <v>0</v>
      </c>
      <c r="K141" s="9">
        <v>1.05</v>
      </c>
      <c r="L141" s="9">
        <v>2.4300000000000002</v>
      </c>
      <c r="M141" s="9">
        <v>1086</v>
      </c>
      <c r="N141" s="9">
        <v>7.9</v>
      </c>
      <c r="O141" s="9">
        <v>9.3000000000000007</v>
      </c>
      <c r="P141" s="41">
        <v>19</v>
      </c>
    </row>
    <row r="142" spans="1:16" x14ac:dyDescent="0.3">
      <c r="A142" s="36"/>
      <c r="B142" s="37">
        <v>3.7853298350107671</v>
      </c>
      <c r="C142" s="9" t="s">
        <v>1</v>
      </c>
      <c r="D142" s="37">
        <v>6100</v>
      </c>
      <c r="E142" s="9">
        <v>-1.22</v>
      </c>
      <c r="F142" s="9">
        <v>214.03899999999999</v>
      </c>
      <c r="G142" s="9">
        <v>0</v>
      </c>
      <c r="H142" s="9">
        <v>1</v>
      </c>
      <c r="I142" s="9">
        <v>-2.82</v>
      </c>
      <c r="J142" s="9">
        <v>0</v>
      </c>
      <c r="K142" s="39">
        <v>0.87050000000000005</v>
      </c>
      <c r="L142" s="9">
        <v>1.81</v>
      </c>
      <c r="M142" s="9">
        <v>1086</v>
      </c>
      <c r="N142" s="9">
        <v>7.9</v>
      </c>
      <c r="O142" s="9">
        <v>9.3000000000000007</v>
      </c>
      <c r="P142" s="41">
        <v>19</v>
      </c>
    </row>
    <row r="143" spans="1:16" x14ac:dyDescent="0.3">
      <c r="A143" s="36"/>
      <c r="B143" s="37">
        <v>5.7543483357110192</v>
      </c>
      <c r="C143" s="9" t="s">
        <v>30</v>
      </c>
      <c r="D143" s="37">
        <v>568000</v>
      </c>
      <c r="E143" s="9">
        <v>0.18</v>
      </c>
      <c r="F143" s="9">
        <v>314.05</v>
      </c>
      <c r="G143" s="9">
        <v>0</v>
      </c>
      <c r="H143" s="9">
        <v>1</v>
      </c>
      <c r="I143" s="9">
        <v>-4.59</v>
      </c>
      <c r="J143" s="9">
        <v>0</v>
      </c>
      <c r="K143" s="9">
        <v>1.22</v>
      </c>
      <c r="L143" s="9">
        <v>2.4500000000000002</v>
      </c>
      <c r="M143" s="9">
        <v>955</v>
      </c>
      <c r="N143" s="9">
        <v>3.9</v>
      </c>
      <c r="O143" s="9">
        <v>16.3</v>
      </c>
      <c r="P143" s="41">
        <v>19</v>
      </c>
    </row>
    <row r="144" spans="1:16" x14ac:dyDescent="0.3">
      <c r="A144" s="36"/>
      <c r="B144" s="37">
        <v>4.3765769570565123</v>
      </c>
      <c r="C144" s="9" t="s">
        <v>2</v>
      </c>
      <c r="D144" s="37">
        <v>23800</v>
      </c>
      <c r="E144" s="9">
        <v>0.251</v>
      </c>
      <c r="F144" s="9">
        <v>299.10000000000002</v>
      </c>
      <c r="G144" s="9">
        <v>0</v>
      </c>
      <c r="H144" s="9">
        <v>1</v>
      </c>
      <c r="I144" s="9">
        <v>-3.36</v>
      </c>
      <c r="J144" s="9">
        <v>0</v>
      </c>
      <c r="K144" s="38">
        <v>1.1711</v>
      </c>
      <c r="L144" s="9">
        <v>2.2599999999999998</v>
      </c>
      <c r="M144" s="9">
        <v>955</v>
      </c>
      <c r="N144" s="9">
        <v>3.9</v>
      </c>
      <c r="O144" s="9">
        <v>16.3</v>
      </c>
      <c r="P144" s="41">
        <v>19</v>
      </c>
    </row>
    <row r="145" spans="1:16" x14ac:dyDescent="0.3">
      <c r="A145" s="36"/>
      <c r="B145" s="37">
        <v>4.6095944092252203</v>
      </c>
      <c r="C145" s="9" t="s">
        <v>29</v>
      </c>
      <c r="D145" s="37">
        <v>40700</v>
      </c>
      <c r="E145" s="9">
        <v>-0.54</v>
      </c>
      <c r="F145" s="9">
        <v>264.05</v>
      </c>
      <c r="G145" s="9">
        <v>0</v>
      </c>
      <c r="H145" s="9">
        <v>1</v>
      </c>
      <c r="I145" s="9">
        <v>-3.72</v>
      </c>
      <c r="J145" s="9">
        <v>0</v>
      </c>
      <c r="K145" s="9">
        <v>1.05</v>
      </c>
      <c r="L145" s="9">
        <v>2.4300000000000002</v>
      </c>
      <c r="M145" s="9">
        <v>955</v>
      </c>
      <c r="N145" s="9">
        <v>3.9</v>
      </c>
      <c r="O145" s="9">
        <v>16.3</v>
      </c>
      <c r="P145" s="41">
        <v>19</v>
      </c>
    </row>
    <row r="146" spans="1:16" x14ac:dyDescent="0.3">
      <c r="A146" s="36"/>
      <c r="B146" s="37">
        <v>3.7916906490201181</v>
      </c>
      <c r="C146" s="9" t="s">
        <v>1</v>
      </c>
      <c r="D146" s="37">
        <v>6190</v>
      </c>
      <c r="E146" s="9">
        <v>-1.22</v>
      </c>
      <c r="F146" s="9">
        <v>214.03899999999999</v>
      </c>
      <c r="G146" s="9">
        <v>0</v>
      </c>
      <c r="H146" s="9">
        <v>1</v>
      </c>
      <c r="I146" s="9">
        <v>-2.82</v>
      </c>
      <c r="J146" s="9">
        <v>0</v>
      </c>
      <c r="K146" s="39">
        <v>0.87050000000000005</v>
      </c>
      <c r="L146" s="9">
        <v>1.81</v>
      </c>
      <c r="M146" s="9">
        <v>955</v>
      </c>
      <c r="N146" s="9">
        <v>3.9</v>
      </c>
      <c r="O146" s="9">
        <v>16.3</v>
      </c>
      <c r="P146" s="41">
        <v>19</v>
      </c>
    </row>
    <row r="147" spans="1:16" x14ac:dyDescent="0.3">
      <c r="A147" s="9"/>
      <c r="B147" s="37">
        <v>4.9843472575858643</v>
      </c>
      <c r="C147" s="9" t="s">
        <v>31</v>
      </c>
      <c r="D147" s="37">
        <v>96460</v>
      </c>
      <c r="E147" s="9">
        <v>0.88</v>
      </c>
      <c r="F147" s="9">
        <v>364.06</v>
      </c>
      <c r="G147" s="9">
        <v>0</v>
      </c>
      <c r="H147" s="9">
        <v>1</v>
      </c>
      <c r="I147" s="9">
        <v>-5.42</v>
      </c>
      <c r="J147" s="9">
        <v>0</v>
      </c>
      <c r="K147" s="9">
        <v>1.4</v>
      </c>
      <c r="L147" s="9">
        <v>3.77</v>
      </c>
      <c r="M147" s="9">
        <v>900</v>
      </c>
      <c r="N147" s="9">
        <v>7</v>
      </c>
      <c r="O147" s="9"/>
      <c r="P147" s="41">
        <v>19</v>
      </c>
    </row>
    <row r="148" spans="1:16" x14ac:dyDescent="0.3">
      <c r="A148" s="9"/>
      <c r="B148" s="37">
        <v>4.5569654998969424</v>
      </c>
      <c r="C148" s="9" t="s">
        <v>2</v>
      </c>
      <c r="D148" s="37">
        <v>36055</v>
      </c>
      <c r="E148" s="9">
        <v>0.251</v>
      </c>
      <c r="F148" s="9">
        <v>299.10000000000002</v>
      </c>
      <c r="G148" s="9">
        <v>0</v>
      </c>
      <c r="H148" s="9">
        <v>1</v>
      </c>
      <c r="I148" s="9">
        <v>-3.36</v>
      </c>
      <c r="J148" s="9">
        <v>0</v>
      </c>
      <c r="K148" s="38">
        <v>1.1711</v>
      </c>
      <c r="L148" s="9">
        <v>2.2599999999999998</v>
      </c>
      <c r="M148" s="9">
        <v>900</v>
      </c>
      <c r="N148" s="9">
        <v>7</v>
      </c>
      <c r="O148" s="9"/>
      <c r="P148" s="41">
        <v>19</v>
      </c>
    </row>
    <row r="149" spans="1:16" x14ac:dyDescent="0.3">
      <c r="A149" s="9"/>
      <c r="B149" s="37">
        <v>5.2034136800964523</v>
      </c>
      <c r="C149" s="9" t="s">
        <v>34</v>
      </c>
      <c r="D149" s="37">
        <v>159740</v>
      </c>
      <c r="E149" s="9">
        <v>1.65</v>
      </c>
      <c r="F149" s="9">
        <v>400.11</v>
      </c>
      <c r="G149" s="9">
        <v>0</v>
      </c>
      <c r="H149" s="9">
        <v>1</v>
      </c>
      <c r="I149" s="9">
        <v>-5</v>
      </c>
      <c r="J149" s="9">
        <v>0</v>
      </c>
      <c r="K149" s="9">
        <v>1.52</v>
      </c>
      <c r="L149" s="9">
        <v>3.3</v>
      </c>
      <c r="M149" s="9">
        <v>900</v>
      </c>
      <c r="N149" s="9">
        <v>7</v>
      </c>
      <c r="O149" s="9"/>
      <c r="P149" s="41">
        <v>19</v>
      </c>
    </row>
    <row r="150" spans="1:16" x14ac:dyDescent="0.3">
      <c r="A150" s="9"/>
      <c r="B150" s="37">
        <v>3.2227164711475833</v>
      </c>
      <c r="C150" s="9" t="s">
        <v>1</v>
      </c>
      <c r="D150" s="37">
        <v>1670</v>
      </c>
      <c r="E150" s="9">
        <v>-1.22</v>
      </c>
      <c r="F150" s="9">
        <v>214.03899999999999</v>
      </c>
      <c r="G150" s="9">
        <v>0</v>
      </c>
      <c r="H150" s="9">
        <v>1</v>
      </c>
      <c r="I150" s="9">
        <v>-2.82</v>
      </c>
      <c r="J150" s="9">
        <v>0</v>
      </c>
      <c r="K150" s="39">
        <v>0.87050000000000005</v>
      </c>
      <c r="L150" s="9">
        <v>1.81</v>
      </c>
      <c r="M150" s="9">
        <v>950</v>
      </c>
      <c r="N150" s="9">
        <v>7</v>
      </c>
      <c r="O150" s="9"/>
      <c r="P150" s="41">
        <v>20</v>
      </c>
    </row>
    <row r="151" spans="1:16" x14ac:dyDescent="0.3">
      <c r="A151" s="9"/>
      <c r="B151" s="37">
        <v>3.3514097519254391</v>
      </c>
      <c r="C151" s="9" t="s">
        <v>29</v>
      </c>
      <c r="D151" s="37">
        <v>2246</v>
      </c>
      <c r="E151" s="9">
        <v>-0.54</v>
      </c>
      <c r="F151" s="9">
        <v>264.05</v>
      </c>
      <c r="G151" s="9">
        <v>0</v>
      </c>
      <c r="H151" s="9">
        <v>1</v>
      </c>
      <c r="I151" s="9">
        <v>-3.72</v>
      </c>
      <c r="J151" s="9">
        <v>0</v>
      </c>
      <c r="K151" s="9">
        <v>1.05</v>
      </c>
      <c r="L151" s="9">
        <v>2.4300000000000002</v>
      </c>
      <c r="M151" s="9">
        <v>950</v>
      </c>
      <c r="N151" s="9">
        <v>7</v>
      </c>
      <c r="O151" s="9"/>
      <c r="P151" s="41">
        <v>20</v>
      </c>
    </row>
    <row r="152" spans="1:16" x14ac:dyDescent="0.3">
      <c r="A152" s="9"/>
      <c r="B152" s="37">
        <v>3.3617278360175931</v>
      </c>
      <c r="C152" s="9" t="s">
        <v>30</v>
      </c>
      <c r="D152" s="37">
        <v>2300</v>
      </c>
      <c r="E152" s="9">
        <v>0.18</v>
      </c>
      <c r="F152" s="9">
        <v>314.05</v>
      </c>
      <c r="G152" s="9">
        <v>0</v>
      </c>
      <c r="H152" s="9">
        <v>1</v>
      </c>
      <c r="I152" s="9">
        <v>-4.59</v>
      </c>
      <c r="J152" s="9">
        <v>0</v>
      </c>
      <c r="K152" s="9">
        <v>1.22</v>
      </c>
      <c r="L152" s="9">
        <v>2.4500000000000002</v>
      </c>
      <c r="M152" s="9">
        <v>950</v>
      </c>
      <c r="N152" s="9">
        <v>7</v>
      </c>
      <c r="O152" s="9"/>
      <c r="P152" s="41">
        <v>20</v>
      </c>
    </row>
    <row r="153" spans="1:16" x14ac:dyDescent="0.3">
      <c r="A153" s="9"/>
      <c r="B153" s="37">
        <v>3.4490153163477864</v>
      </c>
      <c r="C153" s="9" t="s">
        <v>31</v>
      </c>
      <c r="D153" s="37">
        <v>2812</v>
      </c>
      <c r="E153" s="9">
        <v>0.88</v>
      </c>
      <c r="F153" s="9">
        <v>364.06</v>
      </c>
      <c r="G153" s="9">
        <v>0</v>
      </c>
      <c r="H153" s="9">
        <v>1</v>
      </c>
      <c r="I153" s="9">
        <v>-5.42</v>
      </c>
      <c r="J153" s="9">
        <v>0</v>
      </c>
      <c r="K153" s="9">
        <v>1.4</v>
      </c>
      <c r="L153" s="9">
        <v>3.77</v>
      </c>
      <c r="M153" s="9">
        <v>950</v>
      </c>
      <c r="N153" s="9">
        <v>7</v>
      </c>
      <c r="O153" s="9"/>
      <c r="P153" s="41">
        <v>20</v>
      </c>
    </row>
    <row r="154" spans="1:16" x14ac:dyDescent="0.3">
      <c r="A154" s="9"/>
      <c r="B154" s="37">
        <v>3.3100557377508912</v>
      </c>
      <c r="C154" s="9" t="s">
        <v>2</v>
      </c>
      <c r="D154" s="37">
        <v>2042</v>
      </c>
      <c r="E154" s="9">
        <v>0.251</v>
      </c>
      <c r="F154" s="9">
        <v>299.10000000000002</v>
      </c>
      <c r="G154" s="9">
        <v>0</v>
      </c>
      <c r="H154" s="9">
        <v>1</v>
      </c>
      <c r="I154" s="9">
        <v>-3.36</v>
      </c>
      <c r="J154" s="9">
        <v>0</v>
      </c>
      <c r="K154" s="38">
        <v>1.1711</v>
      </c>
      <c r="L154" s="9">
        <v>2.2599999999999998</v>
      </c>
      <c r="M154" s="9">
        <v>950</v>
      </c>
      <c r="N154" s="9">
        <v>7</v>
      </c>
      <c r="O154" s="9"/>
      <c r="P154" s="41">
        <v>20</v>
      </c>
    </row>
    <row r="155" spans="1:16" x14ac:dyDescent="0.3">
      <c r="A155" s="9"/>
      <c r="B155" s="37">
        <v>3.504742636271688</v>
      </c>
      <c r="C155" s="9" t="s">
        <v>33</v>
      </c>
      <c r="D155" s="37">
        <v>3197</v>
      </c>
      <c r="E155" s="9">
        <v>0.95</v>
      </c>
      <c r="F155" s="9">
        <v>350.11</v>
      </c>
      <c r="G155" s="9">
        <v>0</v>
      </c>
      <c r="H155" s="9">
        <v>1</v>
      </c>
      <c r="I155" s="9">
        <v>-4.2</v>
      </c>
      <c r="J155" s="9">
        <v>0</v>
      </c>
      <c r="K155" s="9">
        <v>1.35</v>
      </c>
      <c r="L155" s="9">
        <v>3.01</v>
      </c>
      <c r="M155" s="9">
        <v>950</v>
      </c>
      <c r="N155" s="9">
        <v>7</v>
      </c>
      <c r="O155" s="9"/>
      <c r="P155" s="41">
        <v>20</v>
      </c>
    </row>
    <row r="156" spans="1:16" x14ac:dyDescent="0.3">
      <c r="A156" s="9"/>
      <c r="B156" s="37">
        <v>3.5765716840652906</v>
      </c>
      <c r="C156" s="9" t="s">
        <v>34</v>
      </c>
      <c r="D156" s="37">
        <v>3772</v>
      </c>
      <c r="E156" s="9">
        <v>1.65</v>
      </c>
      <c r="F156" s="9">
        <v>400.11</v>
      </c>
      <c r="G156" s="9">
        <v>0</v>
      </c>
      <c r="H156" s="9">
        <v>1</v>
      </c>
      <c r="I156" s="9">
        <v>-5</v>
      </c>
      <c r="J156" s="9">
        <v>0</v>
      </c>
      <c r="K156" s="9">
        <v>1.52</v>
      </c>
      <c r="L156" s="9">
        <v>3.3</v>
      </c>
      <c r="M156" s="9">
        <v>950</v>
      </c>
      <c r="N156" s="9">
        <v>7</v>
      </c>
      <c r="O156" s="9"/>
      <c r="P156" s="41">
        <v>20</v>
      </c>
    </row>
    <row r="157" spans="1:16" x14ac:dyDescent="0.3">
      <c r="A157" s="9"/>
      <c r="B157" s="37">
        <v>3.430075055551939</v>
      </c>
      <c r="C157" s="9" t="s">
        <v>29</v>
      </c>
      <c r="D157" s="37">
        <v>2692</v>
      </c>
      <c r="E157" s="9">
        <v>-0.54</v>
      </c>
      <c r="F157" s="9">
        <v>264.05</v>
      </c>
      <c r="G157" s="9">
        <v>0</v>
      </c>
      <c r="H157" s="9">
        <v>1</v>
      </c>
      <c r="I157" s="9">
        <v>-3.72</v>
      </c>
      <c r="J157" s="9">
        <v>0</v>
      </c>
      <c r="K157" s="9">
        <v>1.05</v>
      </c>
      <c r="L157" s="9">
        <v>2.4300000000000002</v>
      </c>
      <c r="M157" s="9">
        <v>950</v>
      </c>
      <c r="N157" s="9">
        <v>7</v>
      </c>
      <c r="O157" s="9"/>
      <c r="P157" s="41">
        <v>20</v>
      </c>
    </row>
    <row r="158" spans="1:16" x14ac:dyDescent="0.3">
      <c r="A158" s="9"/>
      <c r="B158" s="37">
        <v>3.3914644118391033</v>
      </c>
      <c r="C158" s="9" t="s">
        <v>119</v>
      </c>
      <c r="D158" s="37">
        <v>2463</v>
      </c>
      <c r="E158" s="9">
        <v>1.1100000000000001</v>
      </c>
      <c r="F158" s="9">
        <v>299.11</v>
      </c>
      <c r="G158" s="9">
        <v>0</v>
      </c>
      <c r="H158" s="9">
        <v>1</v>
      </c>
      <c r="I158" s="9">
        <v>-0.08</v>
      </c>
      <c r="J158" s="9">
        <v>0</v>
      </c>
      <c r="K158" s="9">
        <v>1.68</v>
      </c>
      <c r="L158" s="9">
        <v>2.95</v>
      </c>
      <c r="M158" s="9">
        <v>950</v>
      </c>
      <c r="N158" s="9">
        <v>7</v>
      </c>
      <c r="O158" s="9"/>
      <c r="P158" s="41">
        <v>20</v>
      </c>
    </row>
    <row r="159" spans="1:16" x14ac:dyDescent="0.3">
      <c r="A159" s="9"/>
      <c r="B159" s="37">
        <v>5.0413926851582254</v>
      </c>
      <c r="C159" s="9" t="s">
        <v>34</v>
      </c>
      <c r="D159" s="37">
        <v>110000</v>
      </c>
      <c r="E159" s="9">
        <v>1.65</v>
      </c>
      <c r="F159" s="9">
        <v>400.11</v>
      </c>
      <c r="G159" s="9">
        <v>0</v>
      </c>
      <c r="H159" s="9">
        <v>1</v>
      </c>
      <c r="I159" s="9">
        <v>-5</v>
      </c>
      <c r="J159" s="9">
        <v>0</v>
      </c>
      <c r="K159" s="9">
        <v>1.52</v>
      </c>
      <c r="L159" s="9">
        <v>3.3</v>
      </c>
      <c r="M159" s="9">
        <v>759</v>
      </c>
      <c r="N159" s="9"/>
      <c r="O159" s="9"/>
      <c r="P159" s="41">
        <v>21</v>
      </c>
    </row>
    <row r="160" spans="1:16" x14ac:dyDescent="0.3">
      <c r="A160" s="9"/>
      <c r="B160" s="37">
        <v>6.0134271270706963</v>
      </c>
      <c r="C160" s="9" t="s">
        <v>31</v>
      </c>
      <c r="D160" s="37">
        <v>1031400</v>
      </c>
      <c r="E160" s="9">
        <v>0.88</v>
      </c>
      <c r="F160" s="9">
        <v>364.06</v>
      </c>
      <c r="G160" s="9">
        <v>0</v>
      </c>
      <c r="H160" s="9">
        <v>1</v>
      </c>
      <c r="I160" s="9">
        <v>-5.42</v>
      </c>
      <c r="J160" s="9">
        <v>0</v>
      </c>
      <c r="K160" s="9">
        <v>1.4</v>
      </c>
      <c r="L160" s="9">
        <v>3.77</v>
      </c>
      <c r="M160" s="9">
        <v>262</v>
      </c>
      <c r="N160" s="9"/>
      <c r="O160" s="9"/>
      <c r="P160" s="41">
        <v>13</v>
      </c>
    </row>
    <row r="161" spans="1:16" x14ac:dyDescent="0.3">
      <c r="A161" s="9"/>
      <c r="B161" s="37">
        <v>4.6699673699085045</v>
      </c>
      <c r="C161" s="9" t="s">
        <v>31</v>
      </c>
      <c r="D161" s="37">
        <v>46770</v>
      </c>
      <c r="E161" s="9">
        <v>0.88</v>
      </c>
      <c r="F161" s="9">
        <v>364.06</v>
      </c>
      <c r="G161" s="9">
        <v>0</v>
      </c>
      <c r="H161" s="9">
        <v>1</v>
      </c>
      <c r="I161" s="9">
        <v>-5.42</v>
      </c>
      <c r="J161" s="9">
        <v>0</v>
      </c>
      <c r="K161" s="9">
        <v>1.4</v>
      </c>
      <c r="L161" s="9">
        <v>3.77</v>
      </c>
      <c r="M161" s="9">
        <v>171</v>
      </c>
      <c r="N161" s="9"/>
      <c r="O161" s="9"/>
      <c r="P161" s="41">
        <v>13</v>
      </c>
    </row>
    <row r="162" spans="1:16" x14ac:dyDescent="0.3">
      <c r="A162" s="9"/>
      <c r="B162" s="37">
        <v>4.4399954739538083</v>
      </c>
      <c r="C162" s="9" t="s">
        <v>31</v>
      </c>
      <c r="D162" s="37">
        <v>27542</v>
      </c>
      <c r="E162" s="9">
        <v>0.88</v>
      </c>
      <c r="F162" s="9">
        <v>364.06</v>
      </c>
      <c r="G162" s="9">
        <v>0</v>
      </c>
      <c r="H162" s="9">
        <v>1</v>
      </c>
      <c r="I162" s="9">
        <v>-5.42</v>
      </c>
      <c r="J162" s="9">
        <v>0</v>
      </c>
      <c r="K162" s="9">
        <v>1.4</v>
      </c>
      <c r="L162" s="9">
        <v>3.77</v>
      </c>
      <c r="M162" s="9">
        <v>944</v>
      </c>
      <c r="N162" s="9"/>
      <c r="O162" s="9"/>
      <c r="P162" s="41">
        <v>13</v>
      </c>
    </row>
    <row r="163" spans="1:16" x14ac:dyDescent="0.3">
      <c r="A163" s="9"/>
      <c r="B163" s="37">
        <v>4.8000293592441343</v>
      </c>
      <c r="C163" s="9" t="s">
        <v>30</v>
      </c>
      <c r="D163" s="37">
        <v>63100</v>
      </c>
      <c r="E163" s="9">
        <v>0.18</v>
      </c>
      <c r="F163" s="9">
        <v>314.05</v>
      </c>
      <c r="G163" s="9">
        <v>0</v>
      </c>
      <c r="H163" s="9">
        <v>1</v>
      </c>
      <c r="I163" s="9">
        <v>-4.59</v>
      </c>
      <c r="J163" s="9">
        <v>0</v>
      </c>
      <c r="K163" s="9">
        <v>1.22</v>
      </c>
      <c r="L163" s="9">
        <v>2.4500000000000002</v>
      </c>
      <c r="M163" s="9">
        <v>262</v>
      </c>
      <c r="N163" s="9"/>
      <c r="O163" s="9"/>
      <c r="P163" s="41">
        <v>13</v>
      </c>
    </row>
    <row r="164" spans="1:16" x14ac:dyDescent="0.3">
      <c r="A164" s="9"/>
      <c r="B164" s="37">
        <v>3.3451776165427041</v>
      </c>
      <c r="C164" s="9" t="s">
        <v>30</v>
      </c>
      <c r="D164" s="37">
        <v>2214</v>
      </c>
      <c r="E164" s="9">
        <v>0.18</v>
      </c>
      <c r="F164" s="9">
        <v>314.05</v>
      </c>
      <c r="G164" s="9">
        <v>0</v>
      </c>
      <c r="H164" s="9">
        <v>1</v>
      </c>
      <c r="I164" s="9">
        <v>-4.59</v>
      </c>
      <c r="J164" s="9">
        <v>0</v>
      </c>
      <c r="K164" s="9">
        <v>1.22</v>
      </c>
      <c r="L164" s="9">
        <v>2.4500000000000002</v>
      </c>
      <c r="M164" s="9">
        <v>171</v>
      </c>
      <c r="N164" s="9"/>
      <c r="O164" s="9"/>
      <c r="P164" s="41">
        <v>13</v>
      </c>
    </row>
    <row r="165" spans="1:16" x14ac:dyDescent="0.3">
      <c r="A165" s="9"/>
      <c r="B165" s="37">
        <v>5.16387665564692</v>
      </c>
      <c r="C165" s="9" t="s">
        <v>2</v>
      </c>
      <c r="D165" s="37">
        <v>145840</v>
      </c>
      <c r="E165" s="9">
        <v>0.251</v>
      </c>
      <c r="F165" s="9">
        <v>299.10000000000002</v>
      </c>
      <c r="G165" s="9">
        <v>0</v>
      </c>
      <c r="H165" s="9">
        <v>1</v>
      </c>
      <c r="I165" s="9">
        <v>-3.36</v>
      </c>
      <c r="J165" s="9">
        <v>0</v>
      </c>
      <c r="K165" s="38">
        <v>1.1711</v>
      </c>
      <c r="L165" s="9">
        <v>2.2599999999999998</v>
      </c>
      <c r="M165" s="9">
        <v>964</v>
      </c>
      <c r="N165" s="9">
        <v>8</v>
      </c>
      <c r="O165" s="9"/>
      <c r="P165" s="41">
        <v>22</v>
      </c>
    </row>
    <row r="166" spans="1:16" x14ac:dyDescent="0.3">
      <c r="A166" s="9"/>
      <c r="B166" s="37">
        <v>6.5888488507863885</v>
      </c>
      <c r="C166" s="9" t="s">
        <v>34</v>
      </c>
      <c r="D166" s="37">
        <v>3880153</v>
      </c>
      <c r="E166" s="9">
        <v>1.65</v>
      </c>
      <c r="F166" s="9">
        <v>400.11</v>
      </c>
      <c r="G166" s="9">
        <v>0</v>
      </c>
      <c r="H166" s="9">
        <v>1</v>
      </c>
      <c r="I166" s="9">
        <v>-5</v>
      </c>
      <c r="J166" s="9">
        <v>0</v>
      </c>
      <c r="K166" s="9">
        <v>1.52</v>
      </c>
      <c r="L166" s="9">
        <v>3.3</v>
      </c>
      <c r="M166" s="9">
        <v>964</v>
      </c>
      <c r="N166" s="9">
        <v>8</v>
      </c>
      <c r="O166" s="9"/>
      <c r="P166" s="41">
        <v>22</v>
      </c>
    </row>
    <row r="167" spans="1:16" x14ac:dyDescent="0.3">
      <c r="A167" s="9"/>
      <c r="B167" s="37">
        <v>5.7152844927779185</v>
      </c>
      <c r="C167" s="9" t="s">
        <v>29</v>
      </c>
      <c r="D167" s="37">
        <v>519140</v>
      </c>
      <c r="E167" s="9">
        <v>-0.54</v>
      </c>
      <c r="F167" s="9">
        <v>264.05</v>
      </c>
      <c r="G167" s="9">
        <v>0</v>
      </c>
      <c r="H167" s="9">
        <v>1</v>
      </c>
      <c r="I167" s="9">
        <v>-3.72</v>
      </c>
      <c r="J167" s="9">
        <v>0</v>
      </c>
      <c r="K167" s="9">
        <v>1.05</v>
      </c>
      <c r="L167" s="9">
        <v>2.4300000000000002</v>
      </c>
      <c r="M167" s="9">
        <v>964</v>
      </c>
      <c r="N167" s="9">
        <v>8</v>
      </c>
      <c r="O167" s="9"/>
      <c r="P167" s="41">
        <v>22</v>
      </c>
    </row>
    <row r="168" spans="1:16" x14ac:dyDescent="0.3">
      <c r="A168" s="9"/>
      <c r="B168" s="37">
        <v>5.8922950000555234</v>
      </c>
      <c r="C168" s="9" t="s">
        <v>35</v>
      </c>
      <c r="D168" s="37">
        <v>780360</v>
      </c>
      <c r="E168" s="9">
        <v>0.47</v>
      </c>
      <c r="F168" s="9">
        <v>330.05</v>
      </c>
      <c r="G168" s="9">
        <v>0</v>
      </c>
      <c r="H168" s="9">
        <v>1</v>
      </c>
      <c r="I168" s="9">
        <v>-4.82</v>
      </c>
      <c r="J168" s="9">
        <v>0</v>
      </c>
      <c r="K168" s="9">
        <v>1.28</v>
      </c>
      <c r="L168" s="9">
        <v>2.0750000000000002</v>
      </c>
      <c r="M168" s="9">
        <v>964</v>
      </c>
      <c r="N168" s="9">
        <v>8</v>
      </c>
      <c r="O168" s="9"/>
      <c r="P168" s="41">
        <v>22</v>
      </c>
    </row>
    <row r="169" spans="1:16" x14ac:dyDescent="0.3">
      <c r="A169" s="9"/>
      <c r="B169" s="37">
        <v>5.3384843831803925</v>
      </c>
      <c r="C169" s="9" t="s">
        <v>2</v>
      </c>
      <c r="D169" s="37">
        <v>218014</v>
      </c>
      <c r="E169" s="9">
        <v>0.251</v>
      </c>
      <c r="F169" s="9">
        <v>299.10000000000002</v>
      </c>
      <c r="G169" s="9">
        <v>0</v>
      </c>
      <c r="H169" s="9">
        <v>1</v>
      </c>
      <c r="I169" s="9">
        <v>-3.36</v>
      </c>
      <c r="J169" s="9">
        <v>0</v>
      </c>
      <c r="K169" s="38">
        <v>1.1711</v>
      </c>
      <c r="L169" s="9">
        <v>2.2599999999999998</v>
      </c>
      <c r="M169" s="9">
        <v>1296</v>
      </c>
      <c r="N169" s="9">
        <v>8.8000000000000007</v>
      </c>
      <c r="O169" s="9"/>
      <c r="P169" s="41">
        <v>22</v>
      </c>
    </row>
    <row r="170" spans="1:16" x14ac:dyDescent="0.3">
      <c r="A170" s="9"/>
      <c r="B170" s="37">
        <v>5.3400473176613934</v>
      </c>
      <c r="C170" s="9" t="s">
        <v>34</v>
      </c>
      <c r="D170" s="37">
        <v>218800</v>
      </c>
      <c r="E170" s="9">
        <v>1.65</v>
      </c>
      <c r="F170" s="9">
        <v>400.11</v>
      </c>
      <c r="G170" s="9">
        <v>0</v>
      </c>
      <c r="H170" s="9">
        <v>1</v>
      </c>
      <c r="I170" s="9">
        <v>-5</v>
      </c>
      <c r="J170" s="9">
        <v>0</v>
      </c>
      <c r="K170" s="9">
        <v>1.52</v>
      </c>
      <c r="L170" s="9">
        <v>3.3</v>
      </c>
      <c r="M170" s="9">
        <v>1296</v>
      </c>
      <c r="N170" s="9">
        <v>8.8000000000000007</v>
      </c>
      <c r="O170" s="9"/>
      <c r="P170" s="41">
        <v>22</v>
      </c>
    </row>
    <row r="171" spans="1:16" x14ac:dyDescent="0.3">
      <c r="A171" s="9"/>
      <c r="B171" s="37">
        <v>4.0145625381276098</v>
      </c>
      <c r="C171" s="9" t="s">
        <v>29</v>
      </c>
      <c r="D171" s="37">
        <v>10341</v>
      </c>
      <c r="E171" s="9">
        <v>-0.54</v>
      </c>
      <c r="F171" s="9">
        <v>264.05</v>
      </c>
      <c r="G171" s="9">
        <v>0</v>
      </c>
      <c r="H171" s="9">
        <v>1</v>
      </c>
      <c r="I171" s="9">
        <v>-3.72</v>
      </c>
      <c r="J171" s="9">
        <v>0</v>
      </c>
      <c r="K171" s="9">
        <v>1.05</v>
      </c>
      <c r="L171" s="9">
        <v>2.4300000000000002</v>
      </c>
      <c r="M171" s="9">
        <v>1296</v>
      </c>
      <c r="N171" s="9">
        <v>8.8000000000000007</v>
      </c>
      <c r="O171" s="9"/>
      <c r="P171" s="41">
        <v>22</v>
      </c>
    </row>
    <row r="172" spans="1:16" x14ac:dyDescent="0.3">
      <c r="A172" s="9"/>
      <c r="B172" s="37">
        <v>4.4090873694478354</v>
      </c>
      <c r="C172" s="9" t="s">
        <v>35</v>
      </c>
      <c r="D172" s="37">
        <v>25650</v>
      </c>
      <c r="E172" s="9">
        <v>0.47</v>
      </c>
      <c r="F172" s="9">
        <v>330.05</v>
      </c>
      <c r="G172" s="9">
        <v>0</v>
      </c>
      <c r="H172" s="9">
        <v>1</v>
      </c>
      <c r="I172" s="9">
        <v>-4.82</v>
      </c>
      <c r="J172" s="9">
        <v>0</v>
      </c>
      <c r="K172" s="9">
        <v>1.28</v>
      </c>
      <c r="L172" s="9">
        <v>2.0750000000000002</v>
      </c>
      <c r="M172" s="9">
        <v>1296</v>
      </c>
      <c r="N172" s="9">
        <v>8.8000000000000007</v>
      </c>
      <c r="O172" s="9"/>
      <c r="P172" s="41">
        <v>22</v>
      </c>
    </row>
    <row r="173" spans="1:16" x14ac:dyDescent="0.3">
      <c r="A173" s="9"/>
      <c r="B173" s="37">
        <v>4.969997998598342</v>
      </c>
      <c r="C173" s="9" t="s">
        <v>2</v>
      </c>
      <c r="D173" s="37">
        <v>93325</v>
      </c>
      <c r="E173" s="9">
        <v>0.251</v>
      </c>
      <c r="F173" s="9">
        <v>299.10000000000002</v>
      </c>
      <c r="G173" s="9">
        <v>0</v>
      </c>
      <c r="H173" s="9">
        <v>1</v>
      </c>
      <c r="I173" s="9">
        <v>-3.36</v>
      </c>
      <c r="J173" s="9">
        <v>0</v>
      </c>
      <c r="K173" s="38">
        <v>1.1711</v>
      </c>
      <c r="L173" s="9">
        <v>2.2599999999999998</v>
      </c>
      <c r="M173" s="9">
        <v>1003</v>
      </c>
      <c r="N173" s="9">
        <v>9.5</v>
      </c>
      <c r="O173" s="9"/>
      <c r="P173" s="41">
        <v>23</v>
      </c>
    </row>
    <row r="174" spans="1:16" x14ac:dyDescent="0.3">
      <c r="A174" s="9"/>
      <c r="B174" s="37">
        <v>4.2399997928868718</v>
      </c>
      <c r="C174" s="9" t="s">
        <v>2</v>
      </c>
      <c r="D174" s="37">
        <v>17378</v>
      </c>
      <c r="E174" s="9">
        <v>0.251</v>
      </c>
      <c r="F174" s="9">
        <v>299.10000000000002</v>
      </c>
      <c r="G174" s="9">
        <v>0</v>
      </c>
      <c r="H174" s="9">
        <v>1</v>
      </c>
      <c r="I174" s="9">
        <v>-3.36</v>
      </c>
      <c r="J174" s="9">
        <v>0</v>
      </c>
      <c r="K174" s="38">
        <v>1.1711</v>
      </c>
      <c r="L174" s="9">
        <v>2.2599999999999998</v>
      </c>
      <c r="M174" s="9">
        <v>948</v>
      </c>
      <c r="N174" s="9">
        <v>6.7</v>
      </c>
      <c r="O174" s="9"/>
      <c r="P174" s="41">
        <v>23</v>
      </c>
    </row>
    <row r="175" spans="1:16" x14ac:dyDescent="0.3">
      <c r="A175" s="9"/>
      <c r="B175" s="37">
        <v>4.4599952560473914</v>
      </c>
      <c r="C175" s="9" t="s">
        <v>2</v>
      </c>
      <c r="D175" s="37">
        <v>28840</v>
      </c>
      <c r="E175" s="9">
        <v>0.251</v>
      </c>
      <c r="F175" s="9">
        <v>299.10000000000002</v>
      </c>
      <c r="G175" s="9">
        <v>0</v>
      </c>
      <c r="H175" s="9">
        <v>1</v>
      </c>
      <c r="I175" s="9">
        <v>-3.36</v>
      </c>
      <c r="J175" s="9">
        <v>0</v>
      </c>
      <c r="K175" s="38">
        <v>1.1711</v>
      </c>
      <c r="L175" s="9">
        <v>2.2599999999999998</v>
      </c>
      <c r="M175" s="9">
        <v>1003</v>
      </c>
      <c r="N175" s="9">
        <v>9.5</v>
      </c>
      <c r="O175" s="9"/>
      <c r="P175" s="41">
        <v>23</v>
      </c>
    </row>
    <row r="176" spans="1:16" x14ac:dyDescent="0.3">
      <c r="A176" s="9"/>
      <c r="B176" s="37">
        <v>3.899984562549391</v>
      </c>
      <c r="C176" s="9" t="s">
        <v>2</v>
      </c>
      <c r="D176" s="37">
        <v>7943</v>
      </c>
      <c r="E176" s="9">
        <v>0.251</v>
      </c>
      <c r="F176" s="9">
        <v>299.10000000000002</v>
      </c>
      <c r="G176" s="9">
        <v>0</v>
      </c>
      <c r="H176" s="9">
        <v>1</v>
      </c>
      <c r="I176" s="9">
        <v>-3.36</v>
      </c>
      <c r="J176" s="9">
        <v>0</v>
      </c>
      <c r="K176" s="38">
        <v>1.1711</v>
      </c>
      <c r="L176" s="9">
        <v>2.2599999999999998</v>
      </c>
      <c r="M176" s="9">
        <v>948</v>
      </c>
      <c r="N176" s="9">
        <v>6.7</v>
      </c>
      <c r="O176" s="9"/>
      <c r="P176" s="41">
        <v>23</v>
      </c>
    </row>
    <row r="177" spans="1:16" x14ac:dyDescent="0.3">
      <c r="A177" s="9"/>
      <c r="B177" s="37">
        <v>4.2999864361344677</v>
      </c>
      <c r="C177" s="9" t="s">
        <v>2</v>
      </c>
      <c r="D177" s="37">
        <v>19952</v>
      </c>
      <c r="E177" s="9">
        <v>0.251</v>
      </c>
      <c r="F177" s="9">
        <v>299.10000000000002</v>
      </c>
      <c r="G177" s="9">
        <v>0</v>
      </c>
      <c r="H177" s="9">
        <v>1</v>
      </c>
      <c r="I177" s="9">
        <v>-3.36</v>
      </c>
      <c r="J177" s="9">
        <v>0</v>
      </c>
      <c r="K177" s="38">
        <v>1.1711</v>
      </c>
      <c r="L177" s="9">
        <v>2.2599999999999998</v>
      </c>
      <c r="M177" s="9">
        <v>1003</v>
      </c>
      <c r="N177" s="9">
        <v>9.5</v>
      </c>
      <c r="O177" s="9"/>
      <c r="P177" s="41">
        <v>23</v>
      </c>
    </row>
    <row r="178" spans="1:16" x14ac:dyDescent="0.3">
      <c r="A178" s="9"/>
      <c r="B178" s="37">
        <v>3.8699940001217419</v>
      </c>
      <c r="C178" s="9" t="s">
        <v>2</v>
      </c>
      <c r="D178" s="37">
        <v>7413</v>
      </c>
      <c r="E178" s="9">
        <v>0.251</v>
      </c>
      <c r="F178" s="9">
        <v>299.10000000000002</v>
      </c>
      <c r="G178" s="9">
        <v>0</v>
      </c>
      <c r="H178" s="9">
        <v>1</v>
      </c>
      <c r="I178" s="9">
        <v>-3.36</v>
      </c>
      <c r="J178" s="9">
        <v>0</v>
      </c>
      <c r="K178" s="38">
        <v>1.1711</v>
      </c>
      <c r="L178" s="9">
        <v>2.2599999999999998</v>
      </c>
      <c r="M178" s="9">
        <v>948</v>
      </c>
      <c r="N178" s="9">
        <v>6.7</v>
      </c>
      <c r="O178" s="9"/>
      <c r="P178" s="41">
        <v>23</v>
      </c>
    </row>
    <row r="179" spans="1:16" x14ac:dyDescent="0.3">
      <c r="A179" s="9"/>
      <c r="B179" s="37">
        <v>4.7000023971422538</v>
      </c>
      <c r="C179" s="9" t="s">
        <v>29</v>
      </c>
      <c r="D179" s="37">
        <v>50119</v>
      </c>
      <c r="E179" s="9">
        <v>-0.54</v>
      </c>
      <c r="F179" s="9">
        <v>264.05</v>
      </c>
      <c r="G179" s="9">
        <v>0</v>
      </c>
      <c r="H179" s="9">
        <v>1</v>
      </c>
      <c r="I179" s="9">
        <v>-3.72</v>
      </c>
      <c r="J179" s="9">
        <v>0</v>
      </c>
      <c r="K179" s="9">
        <v>1.05</v>
      </c>
      <c r="L179" s="9">
        <v>2.4300000000000002</v>
      </c>
      <c r="M179" s="9">
        <v>1003</v>
      </c>
      <c r="N179" s="9">
        <v>9.5</v>
      </c>
      <c r="O179" s="9"/>
      <c r="P179" s="41">
        <v>23</v>
      </c>
    </row>
    <row r="180" spans="1:16" x14ac:dyDescent="0.3">
      <c r="A180" s="9"/>
      <c r="B180" s="37">
        <v>4.1099832948198927</v>
      </c>
      <c r="C180" s="9" t="s">
        <v>29</v>
      </c>
      <c r="D180" s="37">
        <v>12882</v>
      </c>
      <c r="E180" s="9">
        <v>-0.54</v>
      </c>
      <c r="F180" s="9">
        <v>264.05</v>
      </c>
      <c r="G180" s="9">
        <v>0</v>
      </c>
      <c r="H180" s="9">
        <v>1</v>
      </c>
      <c r="I180" s="9">
        <v>-3.72</v>
      </c>
      <c r="J180" s="9">
        <v>0</v>
      </c>
      <c r="K180" s="9">
        <v>1.05</v>
      </c>
      <c r="L180" s="9">
        <v>2.4300000000000002</v>
      </c>
      <c r="M180" s="9">
        <v>948</v>
      </c>
      <c r="N180" s="9">
        <v>6.7</v>
      </c>
      <c r="O180" s="9"/>
      <c r="P180" s="41">
        <v>23</v>
      </c>
    </row>
    <row r="181" spans="1:16" x14ac:dyDescent="0.3">
      <c r="A181" s="9"/>
      <c r="B181" s="37">
        <v>4.0299921753778474</v>
      </c>
      <c r="C181" s="9" t="s">
        <v>29</v>
      </c>
      <c r="D181" s="37">
        <v>10715</v>
      </c>
      <c r="E181" s="9">
        <v>-0.54</v>
      </c>
      <c r="F181" s="9">
        <v>264.05</v>
      </c>
      <c r="G181" s="9">
        <v>0</v>
      </c>
      <c r="H181" s="9">
        <v>1</v>
      </c>
      <c r="I181" s="9">
        <v>-3.72</v>
      </c>
      <c r="J181" s="9">
        <v>0</v>
      </c>
      <c r="K181" s="9">
        <v>1.05</v>
      </c>
      <c r="L181" s="9">
        <v>2.4300000000000002</v>
      </c>
      <c r="M181" s="9">
        <v>1003</v>
      </c>
      <c r="N181" s="9">
        <v>9.5</v>
      </c>
      <c r="O181" s="9"/>
      <c r="P181" s="41">
        <v>23</v>
      </c>
    </row>
    <row r="182" spans="1:16" x14ac:dyDescent="0.3">
      <c r="A182" s="9"/>
      <c r="B182" s="37">
        <v>3.3802112417116059</v>
      </c>
      <c r="C182" s="9" t="s">
        <v>29</v>
      </c>
      <c r="D182" s="37">
        <v>2400</v>
      </c>
      <c r="E182" s="9">
        <v>-0.54</v>
      </c>
      <c r="F182" s="9">
        <v>264.05</v>
      </c>
      <c r="G182" s="9">
        <v>0</v>
      </c>
      <c r="H182" s="9">
        <v>1</v>
      </c>
      <c r="I182" s="9">
        <v>-3.72</v>
      </c>
      <c r="J182" s="9">
        <v>0</v>
      </c>
      <c r="K182" s="9">
        <v>1.05</v>
      </c>
      <c r="L182" s="9">
        <v>2.4300000000000002</v>
      </c>
      <c r="M182" s="9">
        <v>948</v>
      </c>
      <c r="N182" s="9">
        <v>6.7</v>
      </c>
      <c r="O182" s="9"/>
      <c r="P182" s="41">
        <v>23</v>
      </c>
    </row>
    <row r="183" spans="1:16" x14ac:dyDescent="0.3">
      <c r="A183" s="9"/>
      <c r="B183" s="37">
        <v>3.4399639359209049</v>
      </c>
      <c r="C183" s="9" t="s">
        <v>29</v>
      </c>
      <c r="D183" s="37">
        <v>2754</v>
      </c>
      <c r="E183" s="9">
        <v>-0.54</v>
      </c>
      <c r="F183" s="9">
        <v>264.05</v>
      </c>
      <c r="G183" s="9">
        <v>0</v>
      </c>
      <c r="H183" s="9">
        <v>1</v>
      </c>
      <c r="I183" s="9">
        <v>-3.72</v>
      </c>
      <c r="J183" s="9">
        <v>0</v>
      </c>
      <c r="K183" s="9">
        <v>1.05</v>
      </c>
      <c r="L183" s="9">
        <v>2.4300000000000002</v>
      </c>
      <c r="M183" s="9">
        <v>1003</v>
      </c>
      <c r="N183" s="9">
        <v>9.5</v>
      </c>
      <c r="O183" s="9"/>
      <c r="P183" s="41">
        <v>23</v>
      </c>
    </row>
    <row r="184" spans="1:16" x14ac:dyDescent="0.3">
      <c r="A184" s="9"/>
      <c r="B184" s="37">
        <v>3.4099331233312946</v>
      </c>
      <c r="C184" s="9" t="s">
        <v>29</v>
      </c>
      <c r="D184" s="37">
        <v>2570</v>
      </c>
      <c r="E184" s="9">
        <v>-0.54</v>
      </c>
      <c r="F184" s="9">
        <v>264.05</v>
      </c>
      <c r="G184" s="9">
        <v>0</v>
      </c>
      <c r="H184" s="9">
        <v>1</v>
      </c>
      <c r="I184" s="9">
        <v>-3.72</v>
      </c>
      <c r="J184" s="9">
        <v>0</v>
      </c>
      <c r="K184" s="9">
        <v>1.05</v>
      </c>
      <c r="L184" s="9">
        <v>2.4300000000000002</v>
      </c>
      <c r="M184" s="9">
        <v>948</v>
      </c>
      <c r="N184" s="9">
        <v>6.7</v>
      </c>
      <c r="O184" s="9"/>
      <c r="P184" s="41">
        <v>23</v>
      </c>
    </row>
    <row r="185" spans="1:16" x14ac:dyDescent="0.3">
      <c r="A185" s="9"/>
      <c r="B185" s="37">
        <v>4.3714373174041006</v>
      </c>
      <c r="C185" s="9" t="s">
        <v>1</v>
      </c>
      <c r="D185" s="37">
        <v>23520</v>
      </c>
      <c r="E185" s="9">
        <v>-1.22</v>
      </c>
      <c r="F185" s="9">
        <v>214.03899999999999</v>
      </c>
      <c r="G185" s="9">
        <v>0</v>
      </c>
      <c r="H185" s="9">
        <v>1</v>
      </c>
      <c r="I185" s="9">
        <v>-2.82</v>
      </c>
      <c r="J185" s="9">
        <v>0</v>
      </c>
      <c r="K185" s="39">
        <v>0.87050000000000005</v>
      </c>
      <c r="L185" s="9">
        <v>1.81</v>
      </c>
      <c r="M185" s="9">
        <v>1054</v>
      </c>
      <c r="N185" s="9">
        <v>7.6</v>
      </c>
      <c r="O185" s="9">
        <v>0.6</v>
      </c>
      <c r="P185" s="41">
        <v>24</v>
      </c>
    </row>
    <row r="186" spans="1:16" x14ac:dyDescent="0.3">
      <c r="A186" s="9"/>
      <c r="B186" s="37">
        <v>4.5710096723093052</v>
      </c>
      <c r="C186" s="9" t="s">
        <v>1</v>
      </c>
      <c r="D186" s="37">
        <v>37240</v>
      </c>
      <c r="E186" s="9">
        <v>-1.22</v>
      </c>
      <c r="F186" s="9">
        <v>214.03899999999999</v>
      </c>
      <c r="G186" s="9">
        <v>0</v>
      </c>
      <c r="H186" s="9">
        <v>1</v>
      </c>
      <c r="I186" s="9">
        <v>-2.82</v>
      </c>
      <c r="J186" s="9">
        <v>0</v>
      </c>
      <c r="K186" s="39">
        <v>0.87050000000000005</v>
      </c>
      <c r="L186" s="9">
        <v>1.81</v>
      </c>
      <c r="M186" s="9">
        <v>1003</v>
      </c>
      <c r="N186" s="9">
        <v>6.7</v>
      </c>
      <c r="O186" s="9">
        <v>0.56999999999999995</v>
      </c>
      <c r="P186" s="41">
        <v>24</v>
      </c>
    </row>
    <row r="187" spans="1:16" x14ac:dyDescent="0.3">
      <c r="A187" s="9"/>
      <c r="B187" s="37">
        <v>4.614475366090395</v>
      </c>
      <c r="C187" s="9" t="s">
        <v>1</v>
      </c>
      <c r="D187" s="37">
        <v>41160</v>
      </c>
      <c r="E187" s="9">
        <v>-1.22</v>
      </c>
      <c r="F187" s="9">
        <v>214.03899999999999</v>
      </c>
      <c r="G187" s="9">
        <v>0</v>
      </c>
      <c r="H187" s="9">
        <v>1</v>
      </c>
      <c r="I187" s="9">
        <v>-2.82</v>
      </c>
      <c r="J187" s="9">
        <v>0</v>
      </c>
      <c r="K187" s="39">
        <v>0.87050000000000005</v>
      </c>
      <c r="L187" s="9">
        <v>1.81</v>
      </c>
      <c r="M187" s="9">
        <v>993</v>
      </c>
      <c r="N187" s="9">
        <v>7.6</v>
      </c>
      <c r="O187" s="9">
        <v>1.3</v>
      </c>
      <c r="P187" s="41">
        <v>24</v>
      </c>
    </row>
    <row r="188" spans="1:16" x14ac:dyDescent="0.3">
      <c r="A188" s="9"/>
      <c r="B188" s="37">
        <v>4.5227049927347496</v>
      </c>
      <c r="C188" s="9" t="s">
        <v>1</v>
      </c>
      <c r="D188" s="37">
        <v>33320</v>
      </c>
      <c r="E188" s="9">
        <v>-1.22</v>
      </c>
      <c r="F188" s="9">
        <v>214.03899999999999</v>
      </c>
      <c r="G188" s="9">
        <v>0</v>
      </c>
      <c r="H188" s="9">
        <v>1</v>
      </c>
      <c r="I188" s="9">
        <v>-2.82</v>
      </c>
      <c r="J188" s="9">
        <v>0</v>
      </c>
      <c r="K188" s="39">
        <v>0.87050000000000005</v>
      </c>
      <c r="L188" s="9">
        <v>1.81</v>
      </c>
      <c r="M188" s="9">
        <v>945</v>
      </c>
      <c r="N188" s="9">
        <v>6.6</v>
      </c>
      <c r="O188" s="9">
        <v>1.5</v>
      </c>
      <c r="P188" s="41">
        <v>24</v>
      </c>
    </row>
    <row r="189" spans="1:16" x14ac:dyDescent="0.3">
      <c r="A189" s="9"/>
      <c r="B189" s="37">
        <v>3.8363241157067516</v>
      </c>
      <c r="C189" s="9" t="s">
        <v>1</v>
      </c>
      <c r="D189" s="37">
        <v>6860</v>
      </c>
      <c r="E189" s="9">
        <v>-1.22</v>
      </c>
      <c r="F189" s="9">
        <v>214.03899999999999</v>
      </c>
      <c r="G189" s="9">
        <v>0</v>
      </c>
      <c r="H189" s="9">
        <v>1</v>
      </c>
      <c r="I189" s="9">
        <v>-2.82</v>
      </c>
      <c r="J189" s="9">
        <v>0</v>
      </c>
      <c r="K189" s="39">
        <v>0.87050000000000005</v>
      </c>
      <c r="L189" s="9">
        <v>1.81</v>
      </c>
      <c r="M189" s="9">
        <v>1047</v>
      </c>
      <c r="N189" s="9">
        <v>6.7</v>
      </c>
      <c r="O189" s="9">
        <v>1.65</v>
      </c>
      <c r="P189" s="41">
        <v>24</v>
      </c>
    </row>
    <row r="190" spans="1:16" x14ac:dyDescent="0.3">
      <c r="A190" s="9"/>
      <c r="B190" s="37">
        <v>3.6346787521786821</v>
      </c>
      <c r="C190" s="9" t="s">
        <v>1</v>
      </c>
      <c r="D190" s="37">
        <v>4312</v>
      </c>
      <c r="E190" s="9">
        <v>-1.22</v>
      </c>
      <c r="F190" s="9">
        <v>214.03899999999999</v>
      </c>
      <c r="G190" s="9">
        <v>0</v>
      </c>
      <c r="H190" s="9">
        <v>1</v>
      </c>
      <c r="I190" s="9">
        <v>-2.82</v>
      </c>
      <c r="J190" s="9">
        <v>0</v>
      </c>
      <c r="K190" s="39">
        <v>0.87050000000000005</v>
      </c>
      <c r="L190" s="9">
        <v>1.81</v>
      </c>
      <c r="M190" s="9">
        <v>982</v>
      </c>
      <c r="N190" s="9">
        <v>6.4</v>
      </c>
      <c r="O190" s="9">
        <v>2.9</v>
      </c>
      <c r="P190" s="41">
        <v>24</v>
      </c>
    </row>
    <row r="191" spans="1:16" x14ac:dyDescent="0.3">
      <c r="A191" s="9"/>
      <c r="B191" s="37">
        <v>4.8665000026721721</v>
      </c>
      <c r="C191" s="9" t="s">
        <v>29</v>
      </c>
      <c r="D191" s="37">
        <v>73536</v>
      </c>
      <c r="E191" s="9">
        <v>-0.54</v>
      </c>
      <c r="F191" s="9">
        <v>264.05</v>
      </c>
      <c r="G191" s="9">
        <v>0</v>
      </c>
      <c r="H191" s="9">
        <v>1</v>
      </c>
      <c r="I191" s="9">
        <v>-3.72</v>
      </c>
      <c r="J191" s="9">
        <v>0</v>
      </c>
      <c r="K191" s="9">
        <v>1.05</v>
      </c>
      <c r="L191" s="9">
        <v>2.4300000000000002</v>
      </c>
      <c r="M191" s="9">
        <v>1054</v>
      </c>
      <c r="N191" s="9">
        <v>7.6</v>
      </c>
      <c r="O191" s="9">
        <v>0.6</v>
      </c>
      <c r="P191" s="41">
        <v>24</v>
      </c>
    </row>
    <row r="192" spans="1:16" x14ac:dyDescent="0.3">
      <c r="A192" s="9"/>
      <c r="B192" s="37">
        <v>5.1158101414097858</v>
      </c>
      <c r="C192" s="9" t="s">
        <v>29</v>
      </c>
      <c r="D192" s="37">
        <v>130560.00000000001</v>
      </c>
      <c r="E192" s="9">
        <v>-0.54</v>
      </c>
      <c r="F192" s="9">
        <v>264.05</v>
      </c>
      <c r="G192" s="9">
        <v>0</v>
      </c>
      <c r="H192" s="9">
        <v>1</v>
      </c>
      <c r="I192" s="9">
        <v>-3.72</v>
      </c>
      <c r="J192" s="9">
        <v>0</v>
      </c>
      <c r="K192" s="9">
        <v>1.05</v>
      </c>
      <c r="L192" s="9">
        <v>2.4300000000000002</v>
      </c>
      <c r="M192" s="9">
        <v>1003</v>
      </c>
      <c r="N192" s="9">
        <v>6.7</v>
      </c>
      <c r="O192" s="9">
        <v>0.56999999999999995</v>
      </c>
      <c r="P192" s="41">
        <v>24</v>
      </c>
    </row>
    <row r="193" spans="1:16" x14ac:dyDescent="0.3">
      <c r="A193" s="9"/>
      <c r="B193" s="37">
        <v>5.1061228740066547</v>
      </c>
      <c r="C193" s="9" t="s">
        <v>29</v>
      </c>
      <c r="D193" s="37">
        <v>127680.00000000001</v>
      </c>
      <c r="E193" s="9">
        <v>-0.54</v>
      </c>
      <c r="F193" s="9">
        <v>264.05</v>
      </c>
      <c r="G193" s="9">
        <v>0</v>
      </c>
      <c r="H193" s="9">
        <v>1</v>
      </c>
      <c r="I193" s="9">
        <v>-3.72</v>
      </c>
      <c r="J193" s="9">
        <v>0</v>
      </c>
      <c r="K193" s="9">
        <v>1.05</v>
      </c>
      <c r="L193" s="9">
        <v>2.4300000000000002</v>
      </c>
      <c r="M193" s="9">
        <v>993</v>
      </c>
      <c r="N193" s="9">
        <v>7.6</v>
      </c>
      <c r="O193" s="9">
        <v>1.3</v>
      </c>
      <c r="P193" s="41">
        <v>24</v>
      </c>
    </row>
    <row r="194" spans="1:16" x14ac:dyDescent="0.3">
      <c r="A194" s="9"/>
      <c r="B194" s="37">
        <v>5.0034605321095063</v>
      </c>
      <c r="C194" s="9" t="s">
        <v>29</v>
      </c>
      <c r="D194" s="37">
        <v>100800</v>
      </c>
      <c r="E194" s="9">
        <v>-0.54</v>
      </c>
      <c r="F194" s="9">
        <v>264.05</v>
      </c>
      <c r="G194" s="9">
        <v>0</v>
      </c>
      <c r="H194" s="9">
        <v>1</v>
      </c>
      <c r="I194" s="9">
        <v>-3.72</v>
      </c>
      <c r="J194" s="9">
        <v>0</v>
      </c>
      <c r="K194" s="9">
        <v>1.05</v>
      </c>
      <c r="L194" s="9">
        <v>2.4300000000000002</v>
      </c>
      <c r="M194" s="9">
        <v>945</v>
      </c>
      <c r="N194" s="9">
        <v>6.6</v>
      </c>
      <c r="O194" s="9">
        <v>1.5</v>
      </c>
      <c r="P194" s="41">
        <v>24</v>
      </c>
    </row>
    <row r="195" spans="1:16" x14ac:dyDescent="0.3">
      <c r="A195" s="9"/>
      <c r="B195" s="37">
        <v>4.3439990690571619</v>
      </c>
      <c r="C195" s="9" t="s">
        <v>29</v>
      </c>
      <c r="D195" s="37">
        <v>22080.000000000018</v>
      </c>
      <c r="E195" s="9">
        <v>-0.54</v>
      </c>
      <c r="F195" s="9">
        <v>264.05</v>
      </c>
      <c r="G195" s="9">
        <v>0</v>
      </c>
      <c r="H195" s="9">
        <v>1</v>
      </c>
      <c r="I195" s="9">
        <v>-3.72</v>
      </c>
      <c r="J195" s="9">
        <v>0</v>
      </c>
      <c r="K195" s="9">
        <v>1.05</v>
      </c>
      <c r="L195" s="9">
        <v>2.4300000000000002</v>
      </c>
      <c r="M195" s="9">
        <v>1047</v>
      </c>
      <c r="N195" s="9">
        <v>6.7</v>
      </c>
      <c r="O195" s="9">
        <v>1.65</v>
      </c>
      <c r="P195" s="41">
        <v>24</v>
      </c>
    </row>
    <row r="196" spans="1:16" x14ac:dyDescent="0.3">
      <c r="A196" s="9"/>
      <c r="B196" s="37">
        <v>3.8853612200315126</v>
      </c>
      <c r="C196" s="9" t="s">
        <v>29</v>
      </c>
      <c r="D196" s="37">
        <v>7680.0000000000073</v>
      </c>
      <c r="E196" s="9">
        <v>-0.54</v>
      </c>
      <c r="F196" s="9">
        <v>264.05</v>
      </c>
      <c r="G196" s="9">
        <v>0</v>
      </c>
      <c r="H196" s="9">
        <v>1</v>
      </c>
      <c r="I196" s="9">
        <v>-3.72</v>
      </c>
      <c r="J196" s="9">
        <v>0</v>
      </c>
      <c r="K196" s="9">
        <v>1.05</v>
      </c>
      <c r="L196" s="9">
        <v>2.4300000000000002</v>
      </c>
      <c r="M196" s="9">
        <v>982</v>
      </c>
      <c r="N196" s="9">
        <v>6.4</v>
      </c>
      <c r="O196" s="9">
        <v>2.9</v>
      </c>
      <c r="P196" s="41">
        <v>24</v>
      </c>
    </row>
    <row r="197" spans="1:16" x14ac:dyDescent="0.3">
      <c r="A197" s="9"/>
      <c r="B197" s="37">
        <v>5.0211892990699383</v>
      </c>
      <c r="C197" s="9" t="s">
        <v>30</v>
      </c>
      <c r="D197" s="37">
        <v>105000</v>
      </c>
      <c r="E197" s="9">
        <v>0.18</v>
      </c>
      <c r="F197" s="9">
        <v>314.05</v>
      </c>
      <c r="G197" s="9">
        <v>0</v>
      </c>
      <c r="H197" s="9">
        <v>1</v>
      </c>
      <c r="I197" s="9">
        <v>-4.59</v>
      </c>
      <c r="J197" s="9">
        <v>0</v>
      </c>
      <c r="K197" s="9">
        <v>1.22</v>
      </c>
      <c r="L197" s="9">
        <v>2.4500000000000002</v>
      </c>
      <c r="M197" s="9">
        <v>1054</v>
      </c>
      <c r="N197" s="9">
        <v>7.6</v>
      </c>
      <c r="O197" s="9">
        <v>0.6</v>
      </c>
      <c r="P197" s="41">
        <v>24</v>
      </c>
    </row>
    <row r="198" spans="1:16" x14ac:dyDescent="0.3">
      <c r="A198" s="9"/>
      <c r="B198" s="37">
        <v>5.114610984232173</v>
      </c>
      <c r="C198" s="9" t="s">
        <v>30</v>
      </c>
      <c r="D198" s="37">
        <v>130200.00000000001</v>
      </c>
      <c r="E198" s="9">
        <v>0.18</v>
      </c>
      <c r="F198" s="9">
        <v>314.05</v>
      </c>
      <c r="G198" s="9">
        <v>0</v>
      </c>
      <c r="H198" s="9">
        <v>1</v>
      </c>
      <c r="I198" s="9">
        <v>-4.59</v>
      </c>
      <c r="J198" s="9">
        <v>0</v>
      </c>
      <c r="K198" s="9">
        <v>1.22</v>
      </c>
      <c r="L198" s="9">
        <v>2.4500000000000002</v>
      </c>
      <c r="M198" s="9">
        <v>1003</v>
      </c>
      <c r="N198" s="9">
        <v>6.7</v>
      </c>
      <c r="O198" s="9">
        <v>0.56999999999999995</v>
      </c>
      <c r="P198" s="41">
        <v>24</v>
      </c>
    </row>
    <row r="199" spans="1:16" x14ac:dyDescent="0.3">
      <c r="A199" s="9"/>
      <c r="B199" s="37">
        <v>5.0955180423231505</v>
      </c>
      <c r="C199" s="9" t="s">
        <v>30</v>
      </c>
      <c r="D199" s="37">
        <v>124600</v>
      </c>
      <c r="E199" s="9">
        <v>0.18</v>
      </c>
      <c r="F199" s="9">
        <v>314.05</v>
      </c>
      <c r="G199" s="9">
        <v>0</v>
      </c>
      <c r="H199" s="9">
        <v>1</v>
      </c>
      <c r="I199" s="9">
        <v>-4.59</v>
      </c>
      <c r="J199" s="9">
        <v>0</v>
      </c>
      <c r="K199" s="9">
        <v>1.22</v>
      </c>
      <c r="L199" s="9">
        <v>2.4500000000000002</v>
      </c>
      <c r="M199" s="9">
        <v>993</v>
      </c>
      <c r="N199" s="9">
        <v>7.6</v>
      </c>
      <c r="O199" s="9">
        <v>1.3</v>
      </c>
      <c r="P199" s="41">
        <v>24</v>
      </c>
    </row>
    <row r="200" spans="1:16" x14ac:dyDescent="0.3">
      <c r="A200" s="9"/>
      <c r="B200" s="37">
        <v>5.0678145111618402</v>
      </c>
      <c r="C200" s="9" t="s">
        <v>30</v>
      </c>
      <c r="D200" s="37">
        <v>116899.99999999999</v>
      </c>
      <c r="E200" s="9">
        <v>0.18</v>
      </c>
      <c r="F200" s="9">
        <v>314.05</v>
      </c>
      <c r="G200" s="9">
        <v>0</v>
      </c>
      <c r="H200" s="9">
        <v>1</v>
      </c>
      <c r="I200" s="9">
        <v>-4.59</v>
      </c>
      <c r="J200" s="9">
        <v>0</v>
      </c>
      <c r="K200" s="9">
        <v>1.22</v>
      </c>
      <c r="L200" s="9">
        <v>2.4500000000000002</v>
      </c>
      <c r="M200" s="9">
        <v>945</v>
      </c>
      <c r="N200" s="9">
        <v>6.6</v>
      </c>
      <c r="O200" s="9">
        <v>1.5</v>
      </c>
      <c r="P200" s="41">
        <v>24</v>
      </c>
    </row>
    <row r="201" spans="1:16" x14ac:dyDescent="0.3">
      <c r="A201" s="9"/>
      <c r="B201" s="37">
        <v>4.6776069527204935</v>
      </c>
      <c r="C201" s="9" t="s">
        <v>30</v>
      </c>
      <c r="D201" s="37">
        <v>47600.000000000015</v>
      </c>
      <c r="E201" s="9">
        <v>0.18</v>
      </c>
      <c r="F201" s="9">
        <v>314.05</v>
      </c>
      <c r="G201" s="9">
        <v>0</v>
      </c>
      <c r="H201" s="9">
        <v>1</v>
      </c>
      <c r="I201" s="9">
        <v>-4.59</v>
      </c>
      <c r="J201" s="9">
        <v>0</v>
      </c>
      <c r="K201" s="9">
        <v>1.22</v>
      </c>
      <c r="L201" s="9">
        <v>2.4500000000000002</v>
      </c>
      <c r="M201" s="9">
        <v>1047</v>
      </c>
      <c r="N201" s="9">
        <v>6.7</v>
      </c>
      <c r="O201" s="9">
        <v>1.65</v>
      </c>
      <c r="P201" s="41">
        <v>24</v>
      </c>
    </row>
    <row r="202" spans="1:16" x14ac:dyDescent="0.3">
      <c r="A202" s="9"/>
      <c r="B202" s="37">
        <v>4.6512780139981444</v>
      </c>
      <c r="C202" s="9" t="s">
        <v>30</v>
      </c>
      <c r="D202" s="37">
        <v>44800.000000000007</v>
      </c>
      <c r="E202" s="9">
        <v>0.18</v>
      </c>
      <c r="F202" s="9">
        <v>314.05</v>
      </c>
      <c r="G202" s="9">
        <v>0</v>
      </c>
      <c r="H202" s="9">
        <v>1</v>
      </c>
      <c r="I202" s="9">
        <v>-4.59</v>
      </c>
      <c r="J202" s="9">
        <v>0</v>
      </c>
      <c r="K202" s="9">
        <v>1.22</v>
      </c>
      <c r="L202" s="9">
        <v>2.4500000000000002</v>
      </c>
      <c r="M202" s="9">
        <v>982</v>
      </c>
      <c r="N202" s="9">
        <v>6.4</v>
      </c>
      <c r="O202" s="9">
        <v>2.9</v>
      </c>
      <c r="P202" s="41">
        <v>24</v>
      </c>
    </row>
    <row r="203" spans="1:16" x14ac:dyDescent="0.3">
      <c r="A203" s="9"/>
      <c r="B203" s="37">
        <v>4.2342641243787895</v>
      </c>
      <c r="C203" s="9" t="s">
        <v>31</v>
      </c>
      <c r="D203" s="37">
        <v>17150</v>
      </c>
      <c r="E203" s="9">
        <v>0.88</v>
      </c>
      <c r="F203" s="9">
        <v>364.06</v>
      </c>
      <c r="G203" s="9">
        <v>0</v>
      </c>
      <c r="H203" s="9">
        <v>1</v>
      </c>
      <c r="I203" s="9">
        <v>-5.42</v>
      </c>
      <c r="J203" s="9">
        <v>0</v>
      </c>
      <c r="K203" s="9">
        <v>1.4</v>
      </c>
      <c r="L203" s="9">
        <v>3.77</v>
      </c>
      <c r="M203" s="9">
        <v>1054</v>
      </c>
      <c r="N203" s="9">
        <v>7.6</v>
      </c>
      <c r="O203" s="9">
        <v>0.6</v>
      </c>
      <c r="P203" s="41">
        <v>24</v>
      </c>
    </row>
    <row r="204" spans="1:16" x14ac:dyDescent="0.3">
      <c r="A204" s="9"/>
      <c r="B204" s="37">
        <v>4.4073909044707316</v>
      </c>
      <c r="C204" s="9" t="s">
        <v>31</v>
      </c>
      <c r="D204" s="37">
        <v>25550</v>
      </c>
      <c r="E204" s="9">
        <v>0.88</v>
      </c>
      <c r="F204" s="9">
        <v>364.06</v>
      </c>
      <c r="G204" s="9">
        <v>0</v>
      </c>
      <c r="H204" s="9">
        <v>1</v>
      </c>
      <c r="I204" s="9">
        <v>-5.42</v>
      </c>
      <c r="J204" s="9">
        <v>0</v>
      </c>
      <c r="K204" s="9">
        <v>1.4</v>
      </c>
      <c r="L204" s="9">
        <v>3.77</v>
      </c>
      <c r="M204" s="9">
        <v>1003</v>
      </c>
      <c r="N204" s="9">
        <v>6.7</v>
      </c>
      <c r="O204" s="9">
        <v>0.56999999999999995</v>
      </c>
      <c r="P204" s="41">
        <v>24</v>
      </c>
    </row>
    <row r="205" spans="1:16" x14ac:dyDescent="0.3">
      <c r="A205" s="9"/>
      <c r="B205" s="37">
        <v>4.3434085938038569</v>
      </c>
      <c r="C205" s="9" t="s">
        <v>31</v>
      </c>
      <c r="D205" s="37">
        <v>22049.999999999996</v>
      </c>
      <c r="E205" s="9">
        <v>0.88</v>
      </c>
      <c r="F205" s="9">
        <v>364.06</v>
      </c>
      <c r="G205" s="9">
        <v>0</v>
      </c>
      <c r="H205" s="9">
        <v>1</v>
      </c>
      <c r="I205" s="9">
        <v>-5.42</v>
      </c>
      <c r="J205" s="9">
        <v>0</v>
      </c>
      <c r="K205" s="9">
        <v>1.4</v>
      </c>
      <c r="L205" s="9">
        <v>3.77</v>
      </c>
      <c r="M205" s="9">
        <v>993</v>
      </c>
      <c r="N205" s="9">
        <v>7.6</v>
      </c>
      <c r="O205" s="9">
        <v>1.3</v>
      </c>
      <c r="P205" s="41">
        <v>24</v>
      </c>
    </row>
    <row r="206" spans="1:16" x14ac:dyDescent="0.3">
      <c r="A206" s="9"/>
      <c r="B206" s="37">
        <v>4.3074960379132126</v>
      </c>
      <c r="C206" s="9" t="s">
        <v>31</v>
      </c>
      <c r="D206" s="37">
        <v>20300</v>
      </c>
      <c r="E206" s="9">
        <v>0.88</v>
      </c>
      <c r="F206" s="9">
        <v>364.06</v>
      </c>
      <c r="G206" s="9">
        <v>0</v>
      </c>
      <c r="H206" s="9">
        <v>1</v>
      </c>
      <c r="I206" s="9">
        <v>-5.42</v>
      </c>
      <c r="J206" s="9">
        <v>0</v>
      </c>
      <c r="K206" s="9">
        <v>1.4</v>
      </c>
      <c r="L206" s="9">
        <v>3.77</v>
      </c>
      <c r="M206" s="9">
        <v>945</v>
      </c>
      <c r="N206" s="9">
        <v>6.6</v>
      </c>
      <c r="O206" s="9">
        <v>1.5</v>
      </c>
      <c r="P206" s="41">
        <v>24</v>
      </c>
    </row>
    <row r="207" spans="1:16" x14ac:dyDescent="0.3">
      <c r="A207" s="9"/>
      <c r="B207" s="37">
        <v>4.1568519010700111</v>
      </c>
      <c r="C207" s="9" t="s">
        <v>31</v>
      </c>
      <c r="D207" s="37">
        <v>14349.999999999998</v>
      </c>
      <c r="E207" s="9">
        <v>0.88</v>
      </c>
      <c r="F207" s="9">
        <v>364.06</v>
      </c>
      <c r="G207" s="9">
        <v>0</v>
      </c>
      <c r="H207" s="9">
        <v>1</v>
      </c>
      <c r="I207" s="9">
        <v>-5.42</v>
      </c>
      <c r="J207" s="9">
        <v>0</v>
      </c>
      <c r="K207" s="9">
        <v>1.4</v>
      </c>
      <c r="L207" s="9">
        <v>3.77</v>
      </c>
      <c r="M207" s="9">
        <v>1047</v>
      </c>
      <c r="N207" s="9">
        <v>6.7</v>
      </c>
      <c r="O207" s="9">
        <v>1.65</v>
      </c>
      <c r="P207" s="41">
        <v>24</v>
      </c>
    </row>
    <row r="208" spans="1:16" x14ac:dyDescent="0.3">
      <c r="A208" s="9"/>
      <c r="B208" s="37">
        <v>4.0138900603284382</v>
      </c>
      <c r="C208" s="9" t="s">
        <v>31</v>
      </c>
      <c r="D208" s="37">
        <v>10325</v>
      </c>
      <c r="E208" s="9">
        <v>0.88</v>
      </c>
      <c r="F208" s="9">
        <v>364.06</v>
      </c>
      <c r="G208" s="9">
        <v>0</v>
      </c>
      <c r="H208" s="9">
        <v>1</v>
      </c>
      <c r="I208" s="9">
        <v>-5.42</v>
      </c>
      <c r="J208" s="9">
        <v>0</v>
      </c>
      <c r="K208" s="9">
        <v>1.4</v>
      </c>
      <c r="L208" s="9">
        <v>3.77</v>
      </c>
      <c r="M208" s="9">
        <v>982</v>
      </c>
      <c r="N208" s="9">
        <v>6.4</v>
      </c>
      <c r="O208" s="9">
        <v>2.9</v>
      </c>
      <c r="P208" s="41">
        <v>24</v>
      </c>
    </row>
    <row r="209" spans="1:16" x14ac:dyDescent="0.3">
      <c r="A209" s="9"/>
      <c r="B209" s="37">
        <v>4.9198518073810336</v>
      </c>
      <c r="C209" s="9" t="s">
        <v>35</v>
      </c>
      <c r="D209" s="37">
        <v>83148</v>
      </c>
      <c r="E209" s="9">
        <v>0.47</v>
      </c>
      <c r="F209" s="9">
        <v>330.05</v>
      </c>
      <c r="G209" s="9">
        <v>0</v>
      </c>
      <c r="H209" s="9">
        <v>1</v>
      </c>
      <c r="I209" s="9">
        <v>-4.82</v>
      </c>
      <c r="J209" s="9">
        <v>0</v>
      </c>
      <c r="K209" s="9">
        <v>1.28</v>
      </c>
      <c r="L209" s="9">
        <v>2.0750000000000002</v>
      </c>
      <c r="M209" s="9">
        <v>1054</v>
      </c>
      <c r="N209" s="9">
        <v>7.6</v>
      </c>
      <c r="O209" s="9">
        <v>0.6</v>
      </c>
      <c r="P209" s="41">
        <v>24</v>
      </c>
    </row>
    <row r="210" spans="1:16" x14ac:dyDescent="0.3">
      <c r="A210" s="9"/>
      <c r="B210" s="37">
        <v>5.1090518100515769</v>
      </c>
      <c r="C210" s="9" t="s">
        <v>35</v>
      </c>
      <c r="D210" s="37">
        <v>128543.99999999999</v>
      </c>
      <c r="E210" s="9">
        <v>0.47</v>
      </c>
      <c r="F210" s="9">
        <v>330.05</v>
      </c>
      <c r="G210" s="9">
        <v>0</v>
      </c>
      <c r="H210" s="9">
        <v>1</v>
      </c>
      <c r="I210" s="9">
        <v>-4.82</v>
      </c>
      <c r="J210" s="9">
        <v>0</v>
      </c>
      <c r="K210" s="9">
        <v>1.28</v>
      </c>
      <c r="L210" s="9">
        <v>2.0750000000000002</v>
      </c>
      <c r="M210" s="9">
        <v>1003</v>
      </c>
      <c r="N210" s="9">
        <v>6.7</v>
      </c>
      <c r="O210" s="9">
        <v>0.56999999999999995</v>
      </c>
      <c r="P210" s="41">
        <v>24</v>
      </c>
    </row>
    <row r="211" spans="1:16" x14ac:dyDescent="0.3">
      <c r="A211" s="9"/>
      <c r="B211" s="37">
        <v>5.0275453020359944</v>
      </c>
      <c r="C211" s="9" t="s">
        <v>35</v>
      </c>
      <c r="D211" s="37">
        <v>106548</v>
      </c>
      <c r="E211" s="9">
        <v>0.47</v>
      </c>
      <c r="F211" s="9">
        <v>330.05</v>
      </c>
      <c r="G211" s="9">
        <v>0</v>
      </c>
      <c r="H211" s="9">
        <v>1</v>
      </c>
      <c r="I211" s="9">
        <v>-4.82</v>
      </c>
      <c r="J211" s="9">
        <v>0</v>
      </c>
      <c r="K211" s="9">
        <v>1.28</v>
      </c>
      <c r="L211" s="9">
        <v>2.0750000000000002</v>
      </c>
      <c r="M211" s="9">
        <v>993</v>
      </c>
      <c r="N211" s="9">
        <v>7.6</v>
      </c>
      <c r="O211" s="9">
        <v>1.3</v>
      </c>
      <c r="P211" s="41">
        <v>24</v>
      </c>
    </row>
    <row r="212" spans="1:16" x14ac:dyDescent="0.3">
      <c r="A212" s="9"/>
      <c r="B212" s="37">
        <v>4.986216198531042</v>
      </c>
      <c r="C212" s="9" t="s">
        <v>35</v>
      </c>
      <c r="D212" s="37">
        <v>96876</v>
      </c>
      <c r="E212" s="9">
        <v>0.47</v>
      </c>
      <c r="F212" s="9">
        <v>330.05</v>
      </c>
      <c r="G212" s="9">
        <v>0</v>
      </c>
      <c r="H212" s="9">
        <v>1</v>
      </c>
      <c r="I212" s="9">
        <v>-4.82</v>
      </c>
      <c r="J212" s="9">
        <v>0</v>
      </c>
      <c r="K212" s="9">
        <v>1.28</v>
      </c>
      <c r="L212" s="9">
        <v>2.0750000000000002</v>
      </c>
      <c r="M212" s="9">
        <v>945</v>
      </c>
      <c r="N212" s="9">
        <v>6.6</v>
      </c>
      <c r="O212" s="9">
        <v>1.5</v>
      </c>
      <c r="P212" s="41">
        <v>24</v>
      </c>
    </row>
    <row r="213" spans="1:16" x14ac:dyDescent="0.3">
      <c r="A213" s="9"/>
      <c r="B213" s="37">
        <v>4.5962451195302796</v>
      </c>
      <c r="C213" s="9" t="s">
        <v>35</v>
      </c>
      <c r="D213" s="37">
        <v>39467.999999999993</v>
      </c>
      <c r="E213" s="9">
        <v>0.47</v>
      </c>
      <c r="F213" s="9">
        <v>330.05</v>
      </c>
      <c r="G213" s="9">
        <v>0</v>
      </c>
      <c r="H213" s="9">
        <v>1</v>
      </c>
      <c r="I213" s="9">
        <v>-4.82</v>
      </c>
      <c r="J213" s="9">
        <v>0</v>
      </c>
      <c r="K213" s="9">
        <v>1.28</v>
      </c>
      <c r="L213" s="9">
        <v>2.0750000000000002</v>
      </c>
      <c r="M213" s="9">
        <v>1047</v>
      </c>
      <c r="N213" s="9">
        <v>6.7</v>
      </c>
      <c r="O213" s="9">
        <v>1.65</v>
      </c>
      <c r="P213" s="41">
        <v>24</v>
      </c>
    </row>
    <row r="214" spans="1:16" x14ac:dyDescent="0.3">
      <c r="A214" s="9"/>
      <c r="B214" s="37">
        <v>3.8450980400142569</v>
      </c>
      <c r="C214" s="9" t="s">
        <v>35</v>
      </c>
      <c r="D214" s="37">
        <v>7000</v>
      </c>
      <c r="E214" s="9">
        <v>0.47</v>
      </c>
      <c r="F214" s="9">
        <v>330.05</v>
      </c>
      <c r="G214" s="9">
        <v>0</v>
      </c>
      <c r="H214" s="9">
        <v>1</v>
      </c>
      <c r="I214" s="9">
        <v>-4.82</v>
      </c>
      <c r="J214" s="9">
        <v>0</v>
      </c>
      <c r="K214" s="9">
        <v>1.28</v>
      </c>
      <c r="L214" s="9">
        <v>2.0750000000000002</v>
      </c>
      <c r="M214" s="9">
        <v>982</v>
      </c>
      <c r="N214" s="9">
        <v>6.4</v>
      </c>
      <c r="O214" s="9">
        <v>2.9</v>
      </c>
      <c r="P214" s="41">
        <v>24</v>
      </c>
    </row>
    <row r="215" spans="1:16" x14ac:dyDescent="0.3">
      <c r="A215" s="9"/>
      <c r="B215" s="37">
        <v>3.1072099696478683</v>
      </c>
      <c r="C215" s="9" t="s">
        <v>123</v>
      </c>
      <c r="D215" s="37">
        <v>1280</v>
      </c>
      <c r="E215" s="9">
        <v>-3.8</v>
      </c>
      <c r="F215" s="9">
        <v>150.08000000000001</v>
      </c>
      <c r="G215" s="9">
        <v>0</v>
      </c>
      <c r="H215" s="9">
        <v>1</v>
      </c>
      <c r="I215" s="9">
        <v>-0.61</v>
      </c>
      <c r="J215" s="9">
        <v>0</v>
      </c>
      <c r="K215" s="9">
        <v>0.64200000000000002</v>
      </c>
      <c r="L215" s="9">
        <v>0.35199999999999998</v>
      </c>
      <c r="M215" s="9">
        <v>1054</v>
      </c>
      <c r="N215" s="9">
        <v>7.6</v>
      </c>
      <c r="O215" s="9">
        <v>0.6</v>
      </c>
      <c r="P215" s="41">
        <v>24</v>
      </c>
    </row>
    <row r="216" spans="1:16" x14ac:dyDescent="0.3">
      <c r="A216" s="9"/>
      <c r="B216" s="37">
        <v>3.1583624920952498</v>
      </c>
      <c r="C216" s="9" t="s">
        <v>123</v>
      </c>
      <c r="D216" s="37">
        <v>1440</v>
      </c>
      <c r="E216" s="9">
        <v>-3.8</v>
      </c>
      <c r="F216" s="9">
        <v>150.08000000000001</v>
      </c>
      <c r="G216" s="9">
        <v>0</v>
      </c>
      <c r="H216" s="9">
        <v>1</v>
      </c>
      <c r="I216" s="9">
        <v>-0.61</v>
      </c>
      <c r="J216" s="9">
        <v>0</v>
      </c>
      <c r="K216" s="9">
        <v>0.64200000000000002</v>
      </c>
      <c r="L216" s="9">
        <v>0.35199999999999998</v>
      </c>
      <c r="M216" s="9">
        <v>1003</v>
      </c>
      <c r="N216" s="9">
        <v>6.7</v>
      </c>
      <c r="O216" s="9">
        <v>0.56999999999999995</v>
      </c>
      <c r="P216" s="41">
        <v>24</v>
      </c>
    </row>
    <row r="217" spans="1:16" x14ac:dyDescent="0.3">
      <c r="A217" s="9"/>
      <c r="B217" s="37">
        <v>2.9030899869919438</v>
      </c>
      <c r="C217" s="9" t="s">
        <v>123</v>
      </c>
      <c r="D217" s="37">
        <v>800</v>
      </c>
      <c r="E217" s="9">
        <v>-3.8</v>
      </c>
      <c r="F217" s="9">
        <v>150.08000000000001</v>
      </c>
      <c r="G217" s="9">
        <v>0</v>
      </c>
      <c r="H217" s="9">
        <v>1</v>
      </c>
      <c r="I217" s="9">
        <v>-0.61</v>
      </c>
      <c r="J217" s="9">
        <v>0</v>
      </c>
      <c r="K217" s="9">
        <v>0.64200000000000002</v>
      </c>
      <c r="L217" s="9">
        <v>0.35199999999999998</v>
      </c>
      <c r="M217" s="9">
        <v>993</v>
      </c>
      <c r="N217" s="9">
        <v>7.6</v>
      </c>
      <c r="O217" s="9">
        <v>1.3</v>
      </c>
      <c r="P217" s="41">
        <v>24</v>
      </c>
    </row>
    <row r="218" spans="1:16" x14ac:dyDescent="0.3">
      <c r="A218" s="9"/>
      <c r="B218" s="37">
        <v>3.255272505103306</v>
      </c>
      <c r="C218" s="9" t="s">
        <v>123</v>
      </c>
      <c r="D218" s="37">
        <v>1800</v>
      </c>
      <c r="E218" s="9">
        <v>-3.8</v>
      </c>
      <c r="F218" s="9">
        <v>150.08000000000001</v>
      </c>
      <c r="G218" s="9">
        <v>0</v>
      </c>
      <c r="H218" s="9">
        <v>1</v>
      </c>
      <c r="I218" s="9">
        <v>-0.61</v>
      </c>
      <c r="J218" s="9">
        <v>0</v>
      </c>
      <c r="K218" s="9">
        <v>0.64200000000000002</v>
      </c>
      <c r="L218" s="9">
        <v>0.35199999999999998</v>
      </c>
      <c r="M218" s="9">
        <v>945</v>
      </c>
      <c r="N218" s="9">
        <v>6.6</v>
      </c>
      <c r="O218" s="9">
        <v>1.5</v>
      </c>
      <c r="P218" s="41">
        <v>24</v>
      </c>
    </row>
    <row r="219" spans="1:16" x14ac:dyDescent="0.3">
      <c r="A219" s="9"/>
      <c r="B219" s="37">
        <v>2.5051499783199058</v>
      </c>
      <c r="C219" s="9" t="s">
        <v>123</v>
      </c>
      <c r="D219" s="37">
        <v>320</v>
      </c>
      <c r="E219" s="9">
        <v>-3.8</v>
      </c>
      <c r="F219" s="9">
        <v>150.08000000000001</v>
      </c>
      <c r="G219" s="9">
        <v>0</v>
      </c>
      <c r="H219" s="9">
        <v>1</v>
      </c>
      <c r="I219" s="9">
        <v>-0.61</v>
      </c>
      <c r="J219" s="9">
        <v>0</v>
      </c>
      <c r="K219" s="9">
        <v>0.64200000000000002</v>
      </c>
      <c r="L219" s="9">
        <v>0.35199999999999998</v>
      </c>
      <c r="M219" s="9">
        <v>1047</v>
      </c>
      <c r="N219" s="9">
        <v>6.7</v>
      </c>
      <c r="O219" s="9">
        <v>1.65</v>
      </c>
      <c r="P219" s="41">
        <v>24</v>
      </c>
    </row>
    <row r="220" spans="1:16" x14ac:dyDescent="0.3">
      <c r="A220" s="9"/>
      <c r="B220" s="37">
        <v>2.6812412373755872</v>
      </c>
      <c r="C220" s="9" t="s">
        <v>123</v>
      </c>
      <c r="D220" s="37">
        <v>480</v>
      </c>
      <c r="E220" s="9">
        <v>-3.8</v>
      </c>
      <c r="F220" s="9">
        <v>150.08000000000001</v>
      </c>
      <c r="G220" s="9">
        <v>0</v>
      </c>
      <c r="H220" s="9">
        <v>1</v>
      </c>
      <c r="I220" s="9">
        <v>-0.61</v>
      </c>
      <c r="J220" s="9">
        <v>0</v>
      </c>
      <c r="K220" s="9">
        <v>0.64200000000000002</v>
      </c>
      <c r="L220" s="9">
        <v>0.35199999999999998</v>
      </c>
      <c r="M220" s="9">
        <v>982</v>
      </c>
      <c r="N220" s="9">
        <v>6.4</v>
      </c>
      <c r="O220" s="9">
        <v>2.9</v>
      </c>
      <c r="P220" s="41">
        <v>24</v>
      </c>
    </row>
    <row r="221" spans="1:16" x14ac:dyDescent="0.3">
      <c r="A221" s="9"/>
      <c r="B221" s="37">
        <v>4.1690863574870232</v>
      </c>
      <c r="C221" s="9" t="s">
        <v>2</v>
      </c>
      <c r="D221" s="37">
        <v>14760</v>
      </c>
      <c r="E221" s="9">
        <v>0.251</v>
      </c>
      <c r="F221" s="9">
        <v>299.10000000000002</v>
      </c>
      <c r="G221" s="9">
        <v>0</v>
      </c>
      <c r="H221" s="9">
        <v>1</v>
      </c>
      <c r="I221" s="9">
        <v>-3.36</v>
      </c>
      <c r="J221" s="9">
        <v>0</v>
      </c>
      <c r="K221" s="38">
        <v>1.1711</v>
      </c>
      <c r="L221" s="9">
        <v>2.2599999999999998</v>
      </c>
      <c r="M221" s="9">
        <v>1054</v>
      </c>
      <c r="N221" s="9">
        <v>7.6</v>
      </c>
      <c r="O221" s="9">
        <v>0.6</v>
      </c>
      <c r="P221" s="41">
        <v>24</v>
      </c>
    </row>
    <row r="222" spans="1:16" x14ac:dyDescent="0.3">
      <c r="A222" s="9"/>
      <c r="B222" s="37">
        <v>4.230704313612569</v>
      </c>
      <c r="C222" s="9" t="s">
        <v>2</v>
      </c>
      <c r="D222" s="37">
        <v>17010</v>
      </c>
      <c r="E222" s="9">
        <v>0.251</v>
      </c>
      <c r="F222" s="9">
        <v>299.10000000000002</v>
      </c>
      <c r="G222" s="9">
        <v>0</v>
      </c>
      <c r="H222" s="9">
        <v>1</v>
      </c>
      <c r="I222" s="9">
        <v>-3.36</v>
      </c>
      <c r="J222" s="9">
        <v>0</v>
      </c>
      <c r="K222" s="38">
        <v>1.1711</v>
      </c>
      <c r="L222" s="9">
        <v>2.2599999999999998</v>
      </c>
      <c r="M222" s="9">
        <v>1003</v>
      </c>
      <c r="N222" s="9">
        <v>6.7</v>
      </c>
      <c r="O222" s="9">
        <v>0.56999999999999995</v>
      </c>
      <c r="P222" s="41">
        <v>24</v>
      </c>
    </row>
    <row r="223" spans="1:16" x14ac:dyDescent="0.3">
      <c r="A223" s="9"/>
      <c r="B223" s="37">
        <v>4.2242740142942576</v>
      </c>
      <c r="C223" s="9" t="s">
        <v>2</v>
      </c>
      <c r="D223" s="37">
        <v>16760</v>
      </c>
      <c r="E223" s="9">
        <v>0.251</v>
      </c>
      <c r="F223" s="9">
        <v>299.10000000000002</v>
      </c>
      <c r="G223" s="9">
        <v>0</v>
      </c>
      <c r="H223" s="9">
        <v>1</v>
      </c>
      <c r="I223" s="9">
        <v>-3.36</v>
      </c>
      <c r="J223" s="9">
        <v>0</v>
      </c>
      <c r="K223" s="38">
        <v>1.1711</v>
      </c>
      <c r="L223" s="9">
        <v>2.2599999999999998</v>
      </c>
      <c r="M223" s="9">
        <v>993</v>
      </c>
      <c r="N223" s="9">
        <v>7.6</v>
      </c>
      <c r="O223" s="9">
        <v>1.3</v>
      </c>
      <c r="P223" s="41">
        <v>24</v>
      </c>
    </row>
    <row r="224" spans="1:16" x14ac:dyDescent="0.3">
      <c r="A224" s="9"/>
      <c r="B224" s="37">
        <v>4.2013971243204518</v>
      </c>
      <c r="C224" s="9" t="s">
        <v>2</v>
      </c>
      <c r="D224" s="37">
        <v>15900</v>
      </c>
      <c r="E224" s="9">
        <v>0.251</v>
      </c>
      <c r="F224" s="9">
        <v>299.10000000000002</v>
      </c>
      <c r="G224" s="9">
        <v>0</v>
      </c>
      <c r="H224" s="9">
        <v>1</v>
      </c>
      <c r="I224" s="9">
        <v>-3.36</v>
      </c>
      <c r="J224" s="9">
        <v>0</v>
      </c>
      <c r="K224" s="38">
        <v>1.1711</v>
      </c>
      <c r="L224" s="9">
        <v>2.2599999999999998</v>
      </c>
      <c r="M224" s="9">
        <v>945</v>
      </c>
      <c r="N224" s="9">
        <v>6.6</v>
      </c>
      <c r="O224" s="9">
        <v>1.5</v>
      </c>
      <c r="P224" s="41">
        <v>24</v>
      </c>
    </row>
    <row r="225" spans="1:16" x14ac:dyDescent="0.3">
      <c r="A225" s="9"/>
      <c r="B225" s="37">
        <v>3.8836614351536176</v>
      </c>
      <c r="C225" s="9" t="s">
        <v>2</v>
      </c>
      <c r="D225" s="37">
        <v>7650</v>
      </c>
      <c r="E225" s="9">
        <v>0.251</v>
      </c>
      <c r="F225" s="9">
        <v>299.10000000000002</v>
      </c>
      <c r="G225" s="9">
        <v>0</v>
      </c>
      <c r="H225" s="9">
        <v>1</v>
      </c>
      <c r="I225" s="9">
        <v>-3.36</v>
      </c>
      <c r="J225" s="9">
        <v>0</v>
      </c>
      <c r="K225" s="38">
        <v>1.1711</v>
      </c>
      <c r="L225" s="9">
        <v>2.2599999999999998</v>
      </c>
      <c r="M225" s="9">
        <v>1047</v>
      </c>
      <c r="N225" s="9">
        <v>6.7</v>
      </c>
      <c r="O225" s="9">
        <v>1.65</v>
      </c>
      <c r="P225" s="41">
        <v>24</v>
      </c>
    </row>
    <row r="226" spans="1:16" x14ac:dyDescent="0.3">
      <c r="A226" s="9"/>
      <c r="B226" s="37">
        <v>3.7888751157754168</v>
      </c>
      <c r="C226" s="9" t="s">
        <v>2</v>
      </c>
      <c r="D226" s="37">
        <v>6150</v>
      </c>
      <c r="E226" s="9">
        <v>0.251</v>
      </c>
      <c r="F226" s="9">
        <v>299.10000000000002</v>
      </c>
      <c r="G226" s="9">
        <v>0</v>
      </c>
      <c r="H226" s="9">
        <v>1</v>
      </c>
      <c r="I226" s="9">
        <v>-3.36</v>
      </c>
      <c r="J226" s="9">
        <v>0</v>
      </c>
      <c r="K226" s="38">
        <v>1.1711</v>
      </c>
      <c r="L226" s="9">
        <v>2.2599999999999998</v>
      </c>
      <c r="M226" s="9">
        <v>982</v>
      </c>
      <c r="N226" s="9">
        <v>6.4</v>
      </c>
      <c r="O226" s="9">
        <v>2.9</v>
      </c>
      <c r="P226" s="41">
        <v>24</v>
      </c>
    </row>
    <row r="227" spans="1:16" x14ac:dyDescent="0.3">
      <c r="A227" s="9"/>
      <c r="B227" s="37">
        <v>4.6858312746260635</v>
      </c>
      <c r="C227" s="9" t="s">
        <v>34</v>
      </c>
      <c r="D227" s="37">
        <v>48510</v>
      </c>
      <c r="E227" s="9">
        <v>1.65</v>
      </c>
      <c r="F227" s="9">
        <v>400.11</v>
      </c>
      <c r="G227" s="9">
        <v>0</v>
      </c>
      <c r="H227" s="9">
        <v>1</v>
      </c>
      <c r="I227" s="9">
        <v>-5</v>
      </c>
      <c r="J227" s="9">
        <v>0</v>
      </c>
      <c r="K227" s="9">
        <v>1.52</v>
      </c>
      <c r="L227" s="9">
        <v>3.3</v>
      </c>
      <c r="M227" s="9">
        <v>1054</v>
      </c>
      <c r="N227" s="9">
        <v>7.6</v>
      </c>
      <c r="O227" s="9">
        <v>0.6</v>
      </c>
      <c r="P227" s="41">
        <v>24</v>
      </c>
    </row>
    <row r="228" spans="1:16" x14ac:dyDescent="0.3">
      <c r="A228" s="9"/>
      <c r="B228" s="37">
        <v>4.7046651854545294</v>
      </c>
      <c r="C228" s="9" t="s">
        <v>34</v>
      </c>
      <c r="D228" s="37">
        <v>50660</v>
      </c>
      <c r="E228" s="9">
        <v>1.65</v>
      </c>
      <c r="F228" s="9">
        <v>400.11</v>
      </c>
      <c r="G228" s="9">
        <v>0</v>
      </c>
      <c r="H228" s="9">
        <v>1</v>
      </c>
      <c r="I228" s="9">
        <v>-5</v>
      </c>
      <c r="J228" s="9">
        <v>0</v>
      </c>
      <c r="K228" s="9">
        <v>1.52</v>
      </c>
      <c r="L228" s="9">
        <v>3.3</v>
      </c>
      <c r="M228" s="9">
        <v>1003</v>
      </c>
      <c r="N228" s="9">
        <v>6.7</v>
      </c>
      <c r="O228" s="9">
        <v>0.56999999999999995</v>
      </c>
      <c r="P228" s="41">
        <v>24</v>
      </c>
    </row>
    <row r="229" spans="1:16" x14ac:dyDescent="0.3">
      <c r="A229" s="9"/>
      <c r="B229" s="37">
        <v>4.6910814921229687</v>
      </c>
      <c r="C229" s="9" t="s">
        <v>34</v>
      </c>
      <c r="D229" s="37">
        <v>49100</v>
      </c>
      <c r="E229" s="9">
        <v>1.65</v>
      </c>
      <c r="F229" s="9">
        <v>400.11</v>
      </c>
      <c r="G229" s="9">
        <v>0</v>
      </c>
      <c r="H229" s="9">
        <v>1</v>
      </c>
      <c r="I229" s="9">
        <v>-5</v>
      </c>
      <c r="J229" s="9">
        <v>0</v>
      </c>
      <c r="K229" s="9">
        <v>1.52</v>
      </c>
      <c r="L229" s="9">
        <v>3.3</v>
      </c>
      <c r="M229" s="9">
        <v>993</v>
      </c>
      <c r="N229" s="9">
        <v>7.6</v>
      </c>
      <c r="O229" s="9">
        <v>1.3</v>
      </c>
      <c r="P229" s="41">
        <v>24</v>
      </c>
    </row>
    <row r="230" spans="1:16" x14ac:dyDescent="0.3">
      <c r="A230" s="9"/>
      <c r="B230" s="37">
        <v>4.6789733759197656</v>
      </c>
      <c r="C230" s="9" t="s">
        <v>34</v>
      </c>
      <c r="D230" s="37">
        <v>47750</v>
      </c>
      <c r="E230" s="9">
        <v>1.65</v>
      </c>
      <c r="F230" s="9">
        <v>400.11</v>
      </c>
      <c r="G230" s="9">
        <v>0</v>
      </c>
      <c r="H230" s="9">
        <v>1</v>
      </c>
      <c r="I230" s="9">
        <v>-5</v>
      </c>
      <c r="J230" s="9">
        <v>0</v>
      </c>
      <c r="K230" s="9">
        <v>1.52</v>
      </c>
      <c r="L230" s="9">
        <v>3.3</v>
      </c>
      <c r="M230" s="9">
        <v>945</v>
      </c>
      <c r="N230" s="9">
        <v>6.6</v>
      </c>
      <c r="O230" s="9">
        <v>1.5</v>
      </c>
      <c r="P230" s="41">
        <v>24</v>
      </c>
    </row>
    <row r="231" spans="1:16" x14ac:dyDescent="0.3">
      <c r="A231" s="9"/>
      <c r="B231" s="37">
        <v>4.6394864892685863</v>
      </c>
      <c r="C231" s="9" t="s">
        <v>34</v>
      </c>
      <c r="D231" s="37">
        <v>43600</v>
      </c>
      <c r="E231" s="9">
        <v>1.65</v>
      </c>
      <c r="F231" s="9">
        <v>400.11</v>
      </c>
      <c r="G231" s="9">
        <v>0</v>
      </c>
      <c r="H231" s="9">
        <v>1</v>
      </c>
      <c r="I231" s="9">
        <v>-5</v>
      </c>
      <c r="J231" s="9">
        <v>0</v>
      </c>
      <c r="K231" s="9">
        <v>1.52</v>
      </c>
      <c r="L231" s="9">
        <v>3.3</v>
      </c>
      <c r="M231" s="9">
        <v>1047</v>
      </c>
      <c r="N231" s="9">
        <v>6.7</v>
      </c>
      <c r="O231" s="9">
        <v>1.65</v>
      </c>
      <c r="P231" s="41">
        <v>24</v>
      </c>
    </row>
    <row r="232" spans="1:16" x14ac:dyDescent="0.3">
      <c r="A232" s="9"/>
      <c r="B232" s="37">
        <v>4.5158738437116792</v>
      </c>
      <c r="C232" s="9" t="s">
        <v>34</v>
      </c>
      <c r="D232" s="37">
        <v>32800</v>
      </c>
      <c r="E232" s="9">
        <v>1.65</v>
      </c>
      <c r="F232" s="9">
        <v>400.11</v>
      </c>
      <c r="G232" s="9">
        <v>0</v>
      </c>
      <c r="H232" s="9">
        <v>1</v>
      </c>
      <c r="I232" s="9">
        <v>-5</v>
      </c>
      <c r="J232" s="9">
        <v>0</v>
      </c>
      <c r="K232" s="9">
        <v>1.52</v>
      </c>
      <c r="L232" s="9">
        <v>3.3</v>
      </c>
      <c r="M232" s="9">
        <v>982</v>
      </c>
      <c r="N232" s="9">
        <v>6.4</v>
      </c>
      <c r="O232" s="9">
        <v>2.9</v>
      </c>
      <c r="P232" s="41">
        <v>24</v>
      </c>
    </row>
    <row r="233" spans="1:16" x14ac:dyDescent="0.3">
      <c r="A233" s="9"/>
      <c r="B233" s="37">
        <v>5.8808135922807914</v>
      </c>
      <c r="C233" s="9" t="s">
        <v>54</v>
      </c>
      <c r="D233" s="37">
        <v>760000</v>
      </c>
      <c r="E233" s="9">
        <v>-1.64</v>
      </c>
      <c r="F233" s="9">
        <v>239.2</v>
      </c>
      <c r="G233" s="9">
        <v>1</v>
      </c>
      <c r="H233" s="9">
        <v>0</v>
      </c>
      <c r="I233" s="9">
        <v>1.2</v>
      </c>
      <c r="J233" s="9">
        <v>1</v>
      </c>
      <c r="K233" s="9">
        <v>2.08</v>
      </c>
      <c r="L233" s="9">
        <v>1.52</v>
      </c>
      <c r="M233" s="9">
        <v>2142</v>
      </c>
      <c r="N233" s="9">
        <v>4.8</v>
      </c>
      <c r="O233" s="9">
        <v>9.19</v>
      </c>
      <c r="P233" s="41">
        <v>25</v>
      </c>
    </row>
    <row r="234" spans="1:16" x14ac:dyDescent="0.3">
      <c r="A234" s="9"/>
      <c r="B234" s="37">
        <v>5.7346855566025532</v>
      </c>
      <c r="C234" s="9" t="s">
        <v>54</v>
      </c>
      <c r="D234" s="37">
        <v>542857.14285714284</v>
      </c>
      <c r="E234" s="9">
        <v>-1.64</v>
      </c>
      <c r="F234" s="9">
        <v>239.2</v>
      </c>
      <c r="G234" s="9">
        <v>1</v>
      </c>
      <c r="H234" s="9">
        <v>0</v>
      </c>
      <c r="I234" s="9">
        <v>1.2</v>
      </c>
      <c r="J234" s="9">
        <v>1</v>
      </c>
      <c r="K234" s="9">
        <v>2.08</v>
      </c>
      <c r="L234" s="9">
        <v>1.52</v>
      </c>
      <c r="M234" s="9">
        <v>1757</v>
      </c>
      <c r="N234" s="9">
        <v>6.2</v>
      </c>
      <c r="O234" s="9">
        <v>8.42</v>
      </c>
      <c r="P234" s="41">
        <v>25</v>
      </c>
    </row>
    <row r="235" spans="1:16" x14ac:dyDescent="0.3">
      <c r="A235" s="9"/>
      <c r="B235" s="37">
        <v>5.2964823679132609</v>
      </c>
      <c r="C235" s="9" t="s">
        <v>93</v>
      </c>
      <c r="D235" s="37">
        <v>197916.66666666666</v>
      </c>
      <c r="E235" s="9">
        <v>0.14000000000000001</v>
      </c>
      <c r="F235" s="9">
        <v>253.28</v>
      </c>
      <c r="G235" s="9">
        <v>0</v>
      </c>
      <c r="H235" s="9">
        <v>1</v>
      </c>
      <c r="I235" s="9">
        <v>-1.03</v>
      </c>
      <c r="J235" s="9">
        <v>1</v>
      </c>
      <c r="K235" s="9">
        <v>1.72</v>
      </c>
      <c r="L235" s="9">
        <v>2.41</v>
      </c>
      <c r="M235" s="9">
        <v>2142</v>
      </c>
      <c r="N235" s="9">
        <v>4.8</v>
      </c>
      <c r="O235" s="9">
        <v>9.19</v>
      </c>
      <c r="P235" s="41">
        <v>25</v>
      </c>
    </row>
    <row r="236" spans="1:16" x14ac:dyDescent="0.3">
      <c r="A236" s="9"/>
      <c r="B236" s="37">
        <v>4.8016323462331663</v>
      </c>
      <c r="C236" s="9" t="s">
        <v>93</v>
      </c>
      <c r="D236" s="37">
        <v>63333.333333333336</v>
      </c>
      <c r="E236" s="9">
        <v>0.14000000000000001</v>
      </c>
      <c r="F236" s="9">
        <v>253.28</v>
      </c>
      <c r="G236" s="9">
        <v>0</v>
      </c>
      <c r="H236" s="9">
        <v>1</v>
      </c>
      <c r="I236" s="9">
        <v>-1.03</v>
      </c>
      <c r="J236" s="9">
        <v>1</v>
      </c>
      <c r="K236" s="9">
        <v>1.72</v>
      </c>
      <c r="L236" s="9">
        <v>2.41</v>
      </c>
      <c r="M236" s="9">
        <v>1757</v>
      </c>
      <c r="N236" s="9">
        <v>6.2</v>
      </c>
      <c r="O236" s="9">
        <v>8.42</v>
      </c>
      <c r="P236" s="41">
        <v>25</v>
      </c>
    </row>
    <row r="237" spans="1:16" x14ac:dyDescent="0.3">
      <c r="A237" s="9"/>
      <c r="B237" s="37">
        <v>5.9777236052888476</v>
      </c>
      <c r="C237" s="9" t="s">
        <v>42</v>
      </c>
      <c r="D237" s="37">
        <v>950000</v>
      </c>
      <c r="E237" s="9">
        <v>0.92</v>
      </c>
      <c r="F237" s="9">
        <v>290.3</v>
      </c>
      <c r="G237" s="9">
        <v>1</v>
      </c>
      <c r="H237" s="9">
        <v>0</v>
      </c>
      <c r="I237" s="9">
        <v>-2.42</v>
      </c>
      <c r="J237" s="9">
        <v>1</v>
      </c>
      <c r="K237" s="9">
        <v>2.21</v>
      </c>
      <c r="L237" s="9">
        <v>2.86</v>
      </c>
      <c r="M237" s="9">
        <v>2142</v>
      </c>
      <c r="N237" s="9">
        <v>4.8</v>
      </c>
      <c r="O237" s="9">
        <v>9.19</v>
      </c>
      <c r="P237" s="41">
        <v>25</v>
      </c>
    </row>
    <row r="238" spans="1:16" x14ac:dyDescent="0.3">
      <c r="A238" s="9"/>
      <c r="B238" s="37">
        <v>5.8985423592412225</v>
      </c>
      <c r="C238" s="9" t="s">
        <v>42</v>
      </c>
      <c r="D238" s="37">
        <v>791666.66666666663</v>
      </c>
      <c r="E238" s="9">
        <v>0.92</v>
      </c>
      <c r="F238" s="9">
        <v>290.3</v>
      </c>
      <c r="G238" s="9">
        <v>1</v>
      </c>
      <c r="H238" s="9">
        <v>0</v>
      </c>
      <c r="I238" s="9">
        <v>-2.42</v>
      </c>
      <c r="J238" s="9">
        <v>1</v>
      </c>
      <c r="K238" s="9">
        <v>2.21</v>
      </c>
      <c r="L238" s="9">
        <v>2.86</v>
      </c>
      <c r="M238" s="9">
        <v>1757</v>
      </c>
      <c r="N238" s="9">
        <v>6.2</v>
      </c>
      <c r="O238" s="9">
        <v>8.42</v>
      </c>
      <c r="P238" s="41">
        <v>25</v>
      </c>
    </row>
    <row r="239" spans="1:16" x14ac:dyDescent="0.3">
      <c r="A239" s="9"/>
      <c r="B239" s="37">
        <v>6.0010000000000003</v>
      </c>
      <c r="C239" s="9" t="s">
        <v>44</v>
      </c>
      <c r="D239" s="37">
        <v>1000000</v>
      </c>
      <c r="E239" s="9">
        <v>0.74</v>
      </c>
      <c r="F239" s="9">
        <v>277.39999999999998</v>
      </c>
      <c r="G239" s="9">
        <v>1</v>
      </c>
      <c r="H239" s="9">
        <v>0</v>
      </c>
      <c r="I239" s="9">
        <v>-0.56999999999999995</v>
      </c>
      <c r="J239" s="9">
        <v>1</v>
      </c>
      <c r="K239" s="9">
        <v>2.62</v>
      </c>
      <c r="L239" s="9">
        <v>2.94</v>
      </c>
      <c r="M239" s="9">
        <v>2142</v>
      </c>
      <c r="N239" s="9">
        <v>4.8</v>
      </c>
      <c r="O239" s="9">
        <v>9.19</v>
      </c>
      <c r="P239" s="41">
        <v>25</v>
      </c>
    </row>
    <row r="240" spans="1:16" x14ac:dyDescent="0.3">
      <c r="A240" s="9"/>
      <c r="B240" s="37">
        <v>5.9170257649352358</v>
      </c>
      <c r="C240" s="9" t="s">
        <v>44</v>
      </c>
      <c r="D240" s="37">
        <v>826086.95652173914</v>
      </c>
      <c r="E240" s="9">
        <v>0.74</v>
      </c>
      <c r="F240" s="9">
        <v>277.39999999999998</v>
      </c>
      <c r="G240" s="9">
        <v>1</v>
      </c>
      <c r="H240" s="9">
        <v>0</v>
      </c>
      <c r="I240" s="9">
        <v>-0.56999999999999995</v>
      </c>
      <c r="J240" s="9">
        <v>1</v>
      </c>
      <c r="K240" s="9">
        <v>2.62</v>
      </c>
      <c r="L240" s="9">
        <v>2.94</v>
      </c>
      <c r="M240" s="9">
        <v>1757</v>
      </c>
      <c r="N240" s="9">
        <v>6.2</v>
      </c>
      <c r="O240" s="9">
        <v>8.42</v>
      </c>
      <c r="P240" s="41">
        <v>25</v>
      </c>
    </row>
    <row r="241" spans="1:16" x14ac:dyDescent="0.3">
      <c r="A241" s="9"/>
      <c r="B241" s="37">
        <v>6.0483046795745548</v>
      </c>
      <c r="C241" s="9" t="s">
        <v>45</v>
      </c>
      <c r="D241" s="37">
        <v>1117647.0588235294</v>
      </c>
      <c r="E241" s="9">
        <v>0.59</v>
      </c>
      <c r="F241" s="9">
        <v>263.39999999999998</v>
      </c>
      <c r="G241" s="9">
        <v>1</v>
      </c>
      <c r="H241" s="9">
        <v>0</v>
      </c>
      <c r="I241" s="9">
        <v>-0.31</v>
      </c>
      <c r="J241" s="9">
        <v>1</v>
      </c>
      <c r="K241" s="9">
        <v>2.36</v>
      </c>
      <c r="L241" s="9">
        <v>3.24</v>
      </c>
      <c r="M241" s="9">
        <v>2142</v>
      </c>
      <c r="N241" s="9">
        <v>4.8</v>
      </c>
      <c r="O241" s="9">
        <v>9.19</v>
      </c>
      <c r="P241" s="41">
        <v>25</v>
      </c>
    </row>
    <row r="242" spans="1:16" x14ac:dyDescent="0.3">
      <c r="A242" s="9"/>
      <c r="B242" s="37">
        <v>5.9565343062189093</v>
      </c>
      <c r="C242" s="9" t="s">
        <v>45</v>
      </c>
      <c r="D242" s="37">
        <v>904761.90476190473</v>
      </c>
      <c r="E242" s="9">
        <v>0.59</v>
      </c>
      <c r="F242" s="9">
        <v>263.39999999999998</v>
      </c>
      <c r="G242" s="9">
        <v>1</v>
      </c>
      <c r="H242" s="9">
        <v>0</v>
      </c>
      <c r="I242" s="9">
        <v>-0.31</v>
      </c>
      <c r="J242" s="9">
        <v>1</v>
      </c>
      <c r="K242" s="9">
        <v>2.36</v>
      </c>
      <c r="L242" s="9">
        <v>3.24</v>
      </c>
      <c r="M242" s="9">
        <v>1757</v>
      </c>
      <c r="N242" s="9">
        <v>6.2</v>
      </c>
      <c r="O242" s="9">
        <v>8.42</v>
      </c>
      <c r="P242" s="41">
        <v>25</v>
      </c>
    </row>
    <row r="243" spans="1:16" x14ac:dyDescent="0.3">
      <c r="A243" s="9"/>
      <c r="B243" s="37">
        <v>6.0791812460476242</v>
      </c>
      <c r="C243" s="9" t="s">
        <v>41</v>
      </c>
      <c r="D243" s="37">
        <v>1199999.9999999988</v>
      </c>
      <c r="E243" s="9">
        <v>-0.8</v>
      </c>
      <c r="F243" s="9">
        <v>361.4</v>
      </c>
      <c r="G243" s="9">
        <v>0</v>
      </c>
      <c r="H243" s="9">
        <v>0</v>
      </c>
      <c r="I243" s="9">
        <v>-2.21</v>
      </c>
      <c r="J243" s="9">
        <v>1</v>
      </c>
      <c r="K243" s="9">
        <v>2.44</v>
      </c>
      <c r="L243" s="9">
        <v>1.0900000000000001</v>
      </c>
      <c r="M243" s="9">
        <v>2142</v>
      </c>
      <c r="N243" s="9">
        <v>4.8</v>
      </c>
      <c r="O243" s="9">
        <v>9.19</v>
      </c>
      <c r="P243" s="41">
        <v>25</v>
      </c>
    </row>
    <row r="244" spans="1:16" x14ac:dyDescent="0.3">
      <c r="A244" s="9"/>
      <c r="B244" s="37">
        <v>5.8497729450242435</v>
      </c>
      <c r="C244" s="9" t="s">
        <v>41</v>
      </c>
      <c r="D244" s="37">
        <v>707575.75757575745</v>
      </c>
      <c r="E244" s="9">
        <v>-0.8</v>
      </c>
      <c r="F244" s="9">
        <v>361.4</v>
      </c>
      <c r="G244" s="9">
        <v>0</v>
      </c>
      <c r="H244" s="9">
        <v>0</v>
      </c>
      <c r="I244" s="9">
        <v>-2.21</v>
      </c>
      <c r="J244" s="9">
        <v>1</v>
      </c>
      <c r="K244" s="9">
        <v>2.44</v>
      </c>
      <c r="L244" s="9">
        <v>1.0900000000000001</v>
      </c>
      <c r="M244" s="9">
        <v>1757</v>
      </c>
      <c r="N244" s="9">
        <v>6.2</v>
      </c>
      <c r="O244" s="9">
        <v>8.42</v>
      </c>
      <c r="P244" s="41">
        <v>25</v>
      </c>
    </row>
    <row r="245" spans="1:16" x14ac:dyDescent="0.3">
      <c r="A245" s="9"/>
      <c r="B245" s="37">
        <v>6.2363392863375928</v>
      </c>
      <c r="C245" s="9" t="s">
        <v>50</v>
      </c>
      <c r="D245" s="37">
        <v>1723214.2857142875</v>
      </c>
      <c r="E245" s="9">
        <v>-0.47</v>
      </c>
      <c r="F245" s="9">
        <v>267.3</v>
      </c>
      <c r="G245" s="9">
        <v>1</v>
      </c>
      <c r="H245" s="9">
        <v>0</v>
      </c>
      <c r="I245" s="9">
        <v>0.3</v>
      </c>
      <c r="J245" s="9">
        <v>1</v>
      </c>
      <c r="K245" s="9">
        <v>2.59</v>
      </c>
      <c r="L245" s="9">
        <v>2.06</v>
      </c>
      <c r="M245" s="9">
        <v>2142</v>
      </c>
      <c r="N245" s="9">
        <v>4.8</v>
      </c>
      <c r="O245" s="9">
        <v>9.19</v>
      </c>
      <c r="P245" s="41">
        <v>25</v>
      </c>
    </row>
    <row r="246" spans="1:16" x14ac:dyDescent="0.3">
      <c r="A246" s="9"/>
      <c r="B246" s="37">
        <v>6.1497623203333314</v>
      </c>
      <c r="C246" s="9" t="s">
        <v>50</v>
      </c>
      <c r="D246" s="37">
        <v>1411764.7058823516</v>
      </c>
      <c r="E246" s="9">
        <v>-0.47</v>
      </c>
      <c r="F246" s="9">
        <v>267.3</v>
      </c>
      <c r="G246" s="9">
        <v>1</v>
      </c>
      <c r="H246" s="9">
        <v>0</v>
      </c>
      <c r="I246" s="9">
        <v>0.3</v>
      </c>
      <c r="J246" s="9">
        <v>1</v>
      </c>
      <c r="K246" s="9">
        <v>2.59</v>
      </c>
      <c r="L246" s="9">
        <v>2.06</v>
      </c>
      <c r="M246" s="9">
        <v>1757</v>
      </c>
      <c r="N246" s="9">
        <v>6.2</v>
      </c>
      <c r="O246" s="9">
        <v>8.42</v>
      </c>
      <c r="P246" s="41">
        <v>25</v>
      </c>
    </row>
    <row r="247" spans="1:16" x14ac:dyDescent="0.3">
      <c r="A247" s="9"/>
      <c r="B247" s="37">
        <v>6.0257608621444207</v>
      </c>
      <c r="C247" s="9" t="s">
        <v>51</v>
      </c>
      <c r="D247" s="37">
        <v>1061111.1111111084</v>
      </c>
      <c r="E247" s="9">
        <v>-1.24</v>
      </c>
      <c r="F247" s="9">
        <v>267.3</v>
      </c>
      <c r="G247" s="9">
        <v>0</v>
      </c>
      <c r="H247" s="9">
        <v>1</v>
      </c>
      <c r="I247" s="9">
        <v>-1.47</v>
      </c>
      <c r="J247" s="9">
        <v>1</v>
      </c>
      <c r="K247" s="9">
        <v>3.3</v>
      </c>
      <c r="L247" s="9">
        <v>1.23</v>
      </c>
      <c r="M247" s="9">
        <v>2142</v>
      </c>
      <c r="N247" s="9">
        <v>4.8</v>
      </c>
      <c r="O247" s="9">
        <v>9.19</v>
      </c>
      <c r="P247" s="41">
        <v>25</v>
      </c>
    </row>
    <row r="248" spans="1:16" x14ac:dyDescent="0.3">
      <c r="A248" s="9"/>
      <c r="B248" s="37">
        <v>5.8568682585656822</v>
      </c>
      <c r="C248" s="9" t="s">
        <v>51</v>
      </c>
      <c r="D248" s="37">
        <v>719230.76923077088</v>
      </c>
      <c r="E248" s="9">
        <v>-1.24</v>
      </c>
      <c r="F248" s="9">
        <v>267.3</v>
      </c>
      <c r="G248" s="9">
        <v>0</v>
      </c>
      <c r="H248" s="9">
        <v>1</v>
      </c>
      <c r="I248" s="9">
        <v>-1.47</v>
      </c>
      <c r="J248" s="9">
        <v>1</v>
      </c>
      <c r="K248" s="9">
        <v>3.3</v>
      </c>
      <c r="L248" s="9">
        <v>1.23</v>
      </c>
      <c r="M248" s="9">
        <v>1757</v>
      </c>
      <c r="N248" s="9">
        <v>6.2</v>
      </c>
      <c r="O248" s="9">
        <v>8.42</v>
      </c>
      <c r="P248" s="41">
        <v>25</v>
      </c>
    </row>
    <row r="249" spans="1:16" x14ac:dyDescent="0.3">
      <c r="A249" s="9"/>
      <c r="B249" s="37">
        <v>5.1578982542296634</v>
      </c>
      <c r="C249" s="9" t="s">
        <v>49</v>
      </c>
      <c r="D249" s="37">
        <v>143846.15384615419</v>
      </c>
      <c r="E249" s="9">
        <v>0.72</v>
      </c>
      <c r="F249" s="9">
        <v>254.3</v>
      </c>
      <c r="G249" s="9">
        <v>0</v>
      </c>
      <c r="H249" s="9">
        <v>1</v>
      </c>
      <c r="I249" s="9">
        <v>-0.85</v>
      </c>
      <c r="J249" s="9">
        <v>2</v>
      </c>
      <c r="K249" s="9">
        <v>2.12</v>
      </c>
      <c r="L249" s="9">
        <v>2.59</v>
      </c>
      <c r="M249" s="9">
        <v>2142</v>
      </c>
      <c r="N249" s="9">
        <v>4.8</v>
      </c>
      <c r="O249" s="9">
        <v>9.19</v>
      </c>
      <c r="P249" s="41">
        <v>25</v>
      </c>
    </row>
    <row r="250" spans="1:16" x14ac:dyDescent="0.3">
      <c r="A250" s="9"/>
      <c r="B250" s="37">
        <v>4.7596678446896314</v>
      </c>
      <c r="C250" s="9" t="s">
        <v>49</v>
      </c>
      <c r="D250" s="37">
        <v>57500.000000000087</v>
      </c>
      <c r="E250" s="9">
        <v>0.72</v>
      </c>
      <c r="F250" s="9">
        <v>254.3</v>
      </c>
      <c r="G250" s="9">
        <v>0</v>
      </c>
      <c r="H250" s="9">
        <v>1</v>
      </c>
      <c r="I250" s="9">
        <v>-0.85</v>
      </c>
      <c r="J250" s="9">
        <v>2</v>
      </c>
      <c r="K250" s="9">
        <v>2.12</v>
      </c>
      <c r="L250" s="9">
        <v>2.59</v>
      </c>
      <c r="M250" s="9">
        <v>1757</v>
      </c>
      <c r="N250" s="9">
        <v>6.2</v>
      </c>
      <c r="O250" s="9">
        <v>8.42</v>
      </c>
      <c r="P250" s="41">
        <v>25</v>
      </c>
    </row>
    <row r="251" spans="1:16" x14ac:dyDescent="0.3">
      <c r="A251" s="9"/>
      <c r="B251" s="37">
        <v>5.0910804693473324</v>
      </c>
      <c r="C251" s="9" t="s">
        <v>53</v>
      </c>
      <c r="D251" s="37">
        <v>123333.33333333334</v>
      </c>
      <c r="E251" s="9">
        <v>-0.44</v>
      </c>
      <c r="F251" s="9">
        <v>791.1</v>
      </c>
      <c r="G251" s="9">
        <v>0</v>
      </c>
      <c r="H251" s="9">
        <v>0</v>
      </c>
      <c r="I251" s="9">
        <v>-2.2400000000000002</v>
      </c>
      <c r="J251" s="9">
        <v>1</v>
      </c>
      <c r="K251" s="9">
        <v>3.64</v>
      </c>
      <c r="L251" s="40">
        <v>1</v>
      </c>
      <c r="M251" s="9">
        <v>2142</v>
      </c>
      <c r="N251" s="9">
        <v>4.8</v>
      </c>
      <c r="O251" s="9">
        <v>9.19</v>
      </c>
      <c r="P251" s="41">
        <v>25</v>
      </c>
    </row>
    <row r="252" spans="1:16" x14ac:dyDescent="0.3">
      <c r="A252" s="9"/>
      <c r="B252" s="37">
        <v>4.7716063226991681</v>
      </c>
      <c r="C252" s="9" t="s">
        <v>53</v>
      </c>
      <c r="D252" s="37">
        <v>59102.564102564153</v>
      </c>
      <c r="E252" s="9">
        <v>-0.44</v>
      </c>
      <c r="F252" s="9">
        <v>791.1</v>
      </c>
      <c r="G252" s="9">
        <v>0</v>
      </c>
      <c r="H252" s="9">
        <v>0</v>
      </c>
      <c r="I252" s="9">
        <v>-2.2400000000000002</v>
      </c>
      <c r="J252" s="9">
        <v>1</v>
      </c>
      <c r="K252" s="9">
        <v>3.64</v>
      </c>
      <c r="L252" s="40">
        <v>1</v>
      </c>
      <c r="M252" s="9">
        <v>1757</v>
      </c>
      <c r="N252" s="9">
        <v>6.2</v>
      </c>
      <c r="O252" s="9">
        <v>8.42</v>
      </c>
      <c r="P252" s="41">
        <v>25</v>
      </c>
    </row>
    <row r="253" spans="1:16" x14ac:dyDescent="0.3">
      <c r="A253" s="9"/>
      <c r="B253" s="37">
        <v>5.8577790717733462</v>
      </c>
      <c r="C253" s="9" t="s">
        <v>52</v>
      </c>
      <c r="D253" s="37">
        <v>720740.74074074195</v>
      </c>
      <c r="E253" s="9">
        <v>-1.45</v>
      </c>
      <c r="F253" s="9">
        <v>330.7</v>
      </c>
      <c r="G253" s="9">
        <v>0</v>
      </c>
      <c r="H253" s="9">
        <v>1</v>
      </c>
      <c r="I253" s="9">
        <v>-3.18</v>
      </c>
      <c r="J253" s="9">
        <v>1</v>
      </c>
      <c r="K253" s="9">
        <v>2.06</v>
      </c>
      <c r="L253" s="9">
        <v>2.04</v>
      </c>
      <c r="M253" s="9">
        <v>2142</v>
      </c>
      <c r="N253" s="9">
        <v>4.8</v>
      </c>
      <c r="O253" s="9">
        <v>9.19</v>
      </c>
      <c r="P253" s="41">
        <v>25</v>
      </c>
    </row>
    <row r="254" spans="1:16" x14ac:dyDescent="0.3">
      <c r="A254" s="9"/>
      <c r="B254" s="37">
        <v>5.3916587806420457</v>
      </c>
      <c r="C254" s="9" t="s">
        <v>52</v>
      </c>
      <c r="D254" s="37">
        <v>246410.25641025603</v>
      </c>
      <c r="E254" s="9">
        <v>-1.45</v>
      </c>
      <c r="F254" s="9">
        <v>330.7</v>
      </c>
      <c r="G254" s="9">
        <v>0</v>
      </c>
      <c r="H254" s="9">
        <v>1</v>
      </c>
      <c r="I254" s="9">
        <v>-3.18</v>
      </c>
      <c r="J254" s="9">
        <v>1</v>
      </c>
      <c r="K254" s="9">
        <v>2.06</v>
      </c>
      <c r="L254" s="9">
        <v>2.04</v>
      </c>
      <c r="M254" s="9">
        <v>1757</v>
      </c>
      <c r="N254" s="9">
        <v>6.2</v>
      </c>
      <c r="O254" s="9">
        <v>8.42</v>
      </c>
      <c r="P254" s="41">
        <v>25</v>
      </c>
    </row>
    <row r="255" spans="1:16" x14ac:dyDescent="0.3">
      <c r="A255" s="9"/>
      <c r="B255" s="37">
        <v>5.7679425298690949</v>
      </c>
      <c r="C255" s="9" t="s">
        <v>47</v>
      </c>
      <c r="D255" s="37">
        <v>586060.60606060596</v>
      </c>
      <c r="E255" s="9">
        <v>1.85</v>
      </c>
      <c r="F255" s="9">
        <v>250.3</v>
      </c>
      <c r="G255" s="9">
        <v>0</v>
      </c>
      <c r="H255" s="9">
        <v>1</v>
      </c>
      <c r="I255" s="9">
        <v>-0.73</v>
      </c>
      <c r="J255" s="9">
        <v>1</v>
      </c>
      <c r="K255" s="9">
        <v>2.4</v>
      </c>
      <c r="L255" s="9">
        <v>2.64</v>
      </c>
      <c r="M255" s="9">
        <v>2142</v>
      </c>
      <c r="N255" s="9">
        <v>4.8</v>
      </c>
      <c r="O255" s="9">
        <v>9.19</v>
      </c>
      <c r="P255" s="41">
        <v>25</v>
      </c>
    </row>
    <row r="256" spans="1:16" x14ac:dyDescent="0.3">
      <c r="A256" s="9"/>
      <c r="B256" s="37">
        <v>5.42441490420366</v>
      </c>
      <c r="C256" s="9" t="s">
        <v>47</v>
      </c>
      <c r="D256" s="37">
        <v>265714.28571428603</v>
      </c>
      <c r="E256" s="9">
        <v>1.85</v>
      </c>
      <c r="F256" s="9">
        <v>250.3</v>
      </c>
      <c r="G256" s="9">
        <v>0</v>
      </c>
      <c r="H256" s="9">
        <v>1</v>
      </c>
      <c r="I256" s="9">
        <v>-0.73</v>
      </c>
      <c r="J256" s="9">
        <v>1</v>
      </c>
      <c r="K256" s="9">
        <v>2.4</v>
      </c>
      <c r="L256" s="9">
        <v>2.64</v>
      </c>
      <c r="M256" s="9">
        <v>1757</v>
      </c>
      <c r="N256" s="9">
        <v>6.2</v>
      </c>
      <c r="O256" s="9">
        <v>8.42</v>
      </c>
      <c r="P256" s="41">
        <v>25</v>
      </c>
    </row>
    <row r="257" spans="1:16" x14ac:dyDescent="0.3">
      <c r="A257" s="9"/>
      <c r="B257" s="37">
        <v>5.9340391233510372</v>
      </c>
      <c r="C257" s="9" t="s">
        <v>40</v>
      </c>
      <c r="D257" s="37">
        <v>859090.9090909079</v>
      </c>
      <c r="E257" s="9">
        <v>0.6</v>
      </c>
      <c r="F257" s="9">
        <v>733.9</v>
      </c>
      <c r="G257" s="9">
        <v>1</v>
      </c>
      <c r="H257" s="9">
        <v>0</v>
      </c>
      <c r="I257" s="9">
        <v>-0.27</v>
      </c>
      <c r="J257" s="9">
        <v>0</v>
      </c>
      <c r="K257" s="9">
        <v>6.07</v>
      </c>
      <c r="L257" s="9">
        <v>2.75</v>
      </c>
      <c r="M257" s="9">
        <v>2142</v>
      </c>
      <c r="N257" s="9">
        <v>4.8</v>
      </c>
      <c r="O257" s="9">
        <v>9.19</v>
      </c>
      <c r="P257" s="41">
        <v>25</v>
      </c>
    </row>
    <row r="258" spans="1:16" x14ac:dyDescent="0.3">
      <c r="A258" s="9"/>
      <c r="B258" s="37">
        <v>5.6989700043360187</v>
      </c>
      <c r="C258" s="9" t="s">
        <v>40</v>
      </c>
      <c r="D258" s="37">
        <v>499999.99999999948</v>
      </c>
      <c r="E258" s="9">
        <v>0.6</v>
      </c>
      <c r="F258" s="9">
        <v>733.9</v>
      </c>
      <c r="G258" s="9">
        <v>1</v>
      </c>
      <c r="H258" s="9">
        <v>0</v>
      </c>
      <c r="I258" s="9">
        <v>-0.27</v>
      </c>
      <c r="J258" s="9">
        <v>0</v>
      </c>
      <c r="K258" s="9">
        <v>6.07</v>
      </c>
      <c r="L258" s="9">
        <v>2.75</v>
      </c>
      <c r="M258" s="9">
        <v>1757</v>
      </c>
      <c r="N258" s="9">
        <v>6.2</v>
      </c>
      <c r="O258" s="9">
        <v>8.42</v>
      </c>
      <c r="P258" s="41">
        <v>25</v>
      </c>
    </row>
    <row r="259" spans="1:16" x14ac:dyDescent="0.3">
      <c r="A259" s="9"/>
      <c r="B259" s="37">
        <v>5.8358770039837644</v>
      </c>
      <c r="C259" s="9" t="s">
        <v>94</v>
      </c>
      <c r="D259" s="37">
        <v>685294.11764705915</v>
      </c>
      <c r="E259" s="9">
        <v>-0.86</v>
      </c>
      <c r="F259" s="9">
        <v>331.34699999999998</v>
      </c>
      <c r="G259" s="9">
        <v>1</v>
      </c>
      <c r="H259" s="9">
        <v>1</v>
      </c>
      <c r="I259" s="9">
        <v>-2.27</v>
      </c>
      <c r="J259" s="9">
        <v>1</v>
      </c>
      <c r="K259" s="38">
        <v>2.3047</v>
      </c>
      <c r="L259" s="9">
        <v>1.55</v>
      </c>
      <c r="M259" s="9">
        <v>2142</v>
      </c>
      <c r="N259" s="9">
        <v>4.8</v>
      </c>
      <c r="O259" s="9">
        <v>9.19</v>
      </c>
      <c r="P259" s="41">
        <v>25</v>
      </c>
    </row>
    <row r="260" spans="1:16" x14ac:dyDescent="0.3">
      <c r="A260" s="9"/>
      <c r="B260" s="37">
        <v>5.2766792421238184</v>
      </c>
      <c r="C260" s="9" t="s">
        <v>94</v>
      </c>
      <c r="D260" s="37">
        <v>189094.65020576166</v>
      </c>
      <c r="E260" s="9">
        <v>-0.86</v>
      </c>
      <c r="F260" s="9">
        <v>331.34699999999998</v>
      </c>
      <c r="G260" s="9">
        <v>1</v>
      </c>
      <c r="H260" s="9">
        <v>1</v>
      </c>
      <c r="I260" s="9">
        <v>-2.27</v>
      </c>
      <c r="J260" s="9">
        <v>1</v>
      </c>
      <c r="K260" s="38">
        <v>2.3047</v>
      </c>
      <c r="L260" s="9">
        <v>1.55</v>
      </c>
      <c r="M260" s="9">
        <v>1757</v>
      </c>
      <c r="N260" s="9">
        <v>6.2</v>
      </c>
      <c r="O260" s="9">
        <v>8.42</v>
      </c>
      <c r="P260" s="41">
        <v>25</v>
      </c>
    </row>
    <row r="261" spans="1:16" x14ac:dyDescent="0.3">
      <c r="A261" s="9"/>
      <c r="B261" s="37">
        <v>5.7788749239223103</v>
      </c>
      <c r="C261" s="9" t="s">
        <v>48</v>
      </c>
      <c r="D261" s="37">
        <v>601000.6253908684</v>
      </c>
      <c r="E261" s="9">
        <v>1.38</v>
      </c>
      <c r="F261" s="9">
        <v>296.2</v>
      </c>
      <c r="G261" s="9">
        <v>0</v>
      </c>
      <c r="H261" s="9">
        <v>1</v>
      </c>
      <c r="I261" s="9">
        <v>-1.3</v>
      </c>
      <c r="J261" s="9">
        <v>2</v>
      </c>
      <c r="K261" s="9">
        <v>2.0699999999999998</v>
      </c>
      <c r="L261" s="9">
        <v>2.66</v>
      </c>
      <c r="M261" s="9">
        <v>2142</v>
      </c>
      <c r="N261" s="9">
        <v>4.8</v>
      </c>
      <c r="O261" s="9">
        <v>9.19</v>
      </c>
      <c r="P261" s="41">
        <v>25</v>
      </c>
    </row>
    <row r="262" spans="1:16" x14ac:dyDescent="0.3">
      <c r="A262" s="9"/>
      <c r="B262" s="37">
        <v>5.3167905430225204</v>
      </c>
      <c r="C262" s="9" t="s">
        <v>48</v>
      </c>
      <c r="D262" s="37">
        <v>207391.30434782564</v>
      </c>
      <c r="E262" s="9">
        <v>1.38</v>
      </c>
      <c r="F262" s="9">
        <v>296.2</v>
      </c>
      <c r="G262" s="9">
        <v>0</v>
      </c>
      <c r="H262" s="9">
        <v>1</v>
      </c>
      <c r="I262" s="9">
        <v>-1.3</v>
      </c>
      <c r="J262" s="9">
        <v>2</v>
      </c>
      <c r="K262" s="9">
        <v>2.0699999999999998</v>
      </c>
      <c r="L262" s="9">
        <v>2.66</v>
      </c>
      <c r="M262" s="9">
        <v>1757</v>
      </c>
      <c r="N262" s="9">
        <v>6.2</v>
      </c>
      <c r="O262" s="9">
        <v>8.42</v>
      </c>
      <c r="P262" s="41">
        <v>25</v>
      </c>
    </row>
    <row r="263" spans="1:16" x14ac:dyDescent="0.3">
      <c r="A263" s="9"/>
      <c r="B263" s="37">
        <v>5.9095929135659588</v>
      </c>
      <c r="C263" s="9" t="s">
        <v>46</v>
      </c>
      <c r="D263" s="37">
        <v>812068.96551724127</v>
      </c>
      <c r="E263" s="9">
        <v>0.97</v>
      </c>
      <c r="F263" s="9">
        <v>361.8</v>
      </c>
      <c r="G263" s="9">
        <v>0</v>
      </c>
      <c r="H263" s="9">
        <v>1</v>
      </c>
      <c r="I263" s="9">
        <v>-1.69</v>
      </c>
      <c r="J263" s="9">
        <v>2</v>
      </c>
      <c r="K263" s="9">
        <v>2.87</v>
      </c>
      <c r="L263" s="9">
        <v>2.62</v>
      </c>
      <c r="M263" s="9">
        <v>2142</v>
      </c>
      <c r="N263" s="9">
        <v>4.8</v>
      </c>
      <c r="O263" s="9">
        <v>9.19</v>
      </c>
      <c r="P263" s="41">
        <v>25</v>
      </c>
    </row>
    <row r="264" spans="1:16" x14ac:dyDescent="0.3">
      <c r="A264" s="9"/>
      <c r="B264" s="37">
        <v>5.6700647461149094</v>
      </c>
      <c r="C264" s="9" t="s">
        <v>46</v>
      </c>
      <c r="D264" s="37">
        <v>467804.87804878037</v>
      </c>
      <c r="E264" s="9">
        <v>0.97</v>
      </c>
      <c r="F264" s="9">
        <v>361.8</v>
      </c>
      <c r="G264" s="9">
        <v>0</v>
      </c>
      <c r="H264" s="9">
        <v>1</v>
      </c>
      <c r="I264" s="9">
        <v>-1.69</v>
      </c>
      <c r="J264" s="9">
        <v>2</v>
      </c>
      <c r="K264" s="9">
        <v>2.87</v>
      </c>
      <c r="L264" s="9">
        <v>2.62</v>
      </c>
      <c r="M264" s="9">
        <v>1757</v>
      </c>
      <c r="N264" s="9">
        <v>6.2</v>
      </c>
      <c r="O264" s="9">
        <v>8.42</v>
      </c>
      <c r="P264" s="41">
        <v>25</v>
      </c>
    </row>
    <row r="265" spans="1:16" x14ac:dyDescent="0.3">
      <c r="A265" s="9"/>
      <c r="B265" s="37">
        <v>6.2230492879949644</v>
      </c>
      <c r="C265" s="9" t="s">
        <v>43</v>
      </c>
      <c r="D265" s="37">
        <v>1671280.2768166098</v>
      </c>
      <c r="E265" s="9">
        <v>2.77</v>
      </c>
      <c r="F265" s="9">
        <v>236.3</v>
      </c>
      <c r="G265" s="9">
        <v>0</v>
      </c>
      <c r="H265" s="9">
        <v>0</v>
      </c>
      <c r="I265" s="9">
        <v>-3.79</v>
      </c>
      <c r="J265" s="9">
        <v>2</v>
      </c>
      <c r="K265" s="9">
        <v>1.87</v>
      </c>
      <c r="L265" s="9">
        <v>3.12</v>
      </c>
      <c r="M265" s="9">
        <v>2142</v>
      </c>
      <c r="N265" s="9">
        <v>4.8</v>
      </c>
      <c r="O265" s="9">
        <v>9.19</v>
      </c>
      <c r="P265" s="41">
        <v>25</v>
      </c>
    </row>
    <row r="266" spans="1:16" x14ac:dyDescent="0.3">
      <c r="A266" s="9"/>
      <c r="B266" s="37">
        <v>5.5835765856339501</v>
      </c>
      <c r="C266" s="9" t="s">
        <v>43</v>
      </c>
      <c r="D266" s="37">
        <v>383333.33333333384</v>
      </c>
      <c r="E266" s="9">
        <v>2.77</v>
      </c>
      <c r="F266" s="9">
        <v>236.3</v>
      </c>
      <c r="G266" s="9">
        <v>0</v>
      </c>
      <c r="H266" s="9">
        <v>0</v>
      </c>
      <c r="I266" s="9">
        <v>-3.79</v>
      </c>
      <c r="J266" s="9">
        <v>2</v>
      </c>
      <c r="K266" s="9">
        <v>1.87</v>
      </c>
      <c r="L266" s="9">
        <v>3.12</v>
      </c>
      <c r="M266" s="9">
        <v>1757</v>
      </c>
      <c r="N266" s="9">
        <v>6.2</v>
      </c>
      <c r="O266" s="9">
        <v>8.42</v>
      </c>
      <c r="P266" s="41">
        <v>25</v>
      </c>
    </row>
    <row r="267" spans="1:16" x14ac:dyDescent="0.3">
      <c r="A267" s="9"/>
      <c r="B267" s="37">
        <v>6.2543779744432753</v>
      </c>
      <c r="C267" s="9" t="s">
        <v>39</v>
      </c>
      <c r="D267" s="37">
        <v>1796296.296296292</v>
      </c>
      <c r="E267" s="9">
        <v>-3.06</v>
      </c>
      <c r="F267" s="9">
        <v>749</v>
      </c>
      <c r="G267" s="9">
        <v>1</v>
      </c>
      <c r="H267" s="9">
        <v>0</v>
      </c>
      <c r="I267" s="9">
        <v>0.38</v>
      </c>
      <c r="J267" s="9">
        <v>0</v>
      </c>
      <c r="K267" s="9">
        <v>6.33</v>
      </c>
      <c r="L267" s="9">
        <v>3.5</v>
      </c>
      <c r="M267" s="9">
        <v>2142</v>
      </c>
      <c r="N267" s="9">
        <v>4.8</v>
      </c>
      <c r="O267" s="9">
        <v>9.19</v>
      </c>
      <c r="P267" s="41">
        <v>25</v>
      </c>
    </row>
    <row r="268" spans="1:16" x14ac:dyDescent="0.3">
      <c r="A268" s="9"/>
      <c r="B268" s="37">
        <v>5.9095929135659588</v>
      </c>
      <c r="C268" s="9" t="s">
        <v>39</v>
      </c>
      <c r="D268" s="37">
        <v>812068.96551724127</v>
      </c>
      <c r="E268" s="9">
        <v>-3.06</v>
      </c>
      <c r="F268" s="9">
        <v>749</v>
      </c>
      <c r="G268" s="9">
        <v>1</v>
      </c>
      <c r="H268" s="9">
        <v>0</v>
      </c>
      <c r="I268" s="9">
        <v>0.38</v>
      </c>
      <c r="J268" s="9">
        <v>0</v>
      </c>
      <c r="K268" s="9">
        <v>6.33</v>
      </c>
      <c r="L268" s="9">
        <v>3.5</v>
      </c>
      <c r="M268" s="9">
        <v>1757</v>
      </c>
      <c r="N268" s="9">
        <v>6.2</v>
      </c>
      <c r="O268" s="9">
        <v>8.42</v>
      </c>
      <c r="P268" s="41">
        <v>25</v>
      </c>
    </row>
    <row r="269" spans="1:16" x14ac:dyDescent="0.3">
      <c r="A269" s="9"/>
      <c r="B269" s="37">
        <v>5.3069950427026082</v>
      </c>
      <c r="C269" s="9" t="s">
        <v>54</v>
      </c>
      <c r="D269" s="37">
        <v>202765.95744680823</v>
      </c>
      <c r="E269" s="9">
        <v>-1.64</v>
      </c>
      <c r="F269" s="9">
        <v>239.2</v>
      </c>
      <c r="G269" s="9">
        <v>1</v>
      </c>
      <c r="H269" s="9">
        <v>0</v>
      </c>
      <c r="I269" s="9">
        <v>1.2</v>
      </c>
      <c r="J269" s="9">
        <v>1</v>
      </c>
      <c r="K269" s="9">
        <v>2.08</v>
      </c>
      <c r="L269" s="9">
        <v>1.52</v>
      </c>
      <c r="M269" s="9">
        <v>1276</v>
      </c>
      <c r="N269" s="9">
        <v>8.5</v>
      </c>
      <c r="O269" s="9">
        <v>1.7</v>
      </c>
      <c r="P269" s="41">
        <v>25</v>
      </c>
    </row>
    <row r="270" spans="1:16" x14ac:dyDescent="0.3">
      <c r="A270" s="9"/>
      <c r="B270" s="37">
        <v>4.8298737879829456</v>
      </c>
      <c r="C270" s="9" t="s">
        <v>54</v>
      </c>
      <c r="D270" s="37">
        <v>67588.652482269405</v>
      </c>
      <c r="E270" s="9">
        <v>-1.64</v>
      </c>
      <c r="F270" s="9">
        <v>239.2</v>
      </c>
      <c r="G270" s="9">
        <v>1</v>
      </c>
      <c r="H270" s="9">
        <v>0</v>
      </c>
      <c r="I270" s="9">
        <v>1.2</v>
      </c>
      <c r="J270" s="9">
        <v>1</v>
      </c>
      <c r="K270" s="9">
        <v>2.08</v>
      </c>
      <c r="L270" s="9">
        <v>1.52</v>
      </c>
      <c r="M270" s="9">
        <v>850</v>
      </c>
      <c r="N270" s="9">
        <v>7.8</v>
      </c>
      <c r="O270" s="9">
        <v>5.66</v>
      </c>
      <c r="P270" s="41">
        <v>25</v>
      </c>
    </row>
    <row r="271" spans="1:16" x14ac:dyDescent="0.3">
      <c r="A271" s="9"/>
      <c r="B271" s="37">
        <v>5.5096504795465817</v>
      </c>
      <c r="C271" s="9" t="s">
        <v>93</v>
      </c>
      <c r="D271" s="37">
        <v>323333.33333333256</v>
      </c>
      <c r="E271" s="9">
        <v>0.14000000000000001</v>
      </c>
      <c r="F271" s="9">
        <v>253.28</v>
      </c>
      <c r="G271" s="9">
        <v>0</v>
      </c>
      <c r="H271" s="9">
        <v>1</v>
      </c>
      <c r="I271" s="9">
        <v>-1.03</v>
      </c>
      <c r="J271" s="9">
        <v>1</v>
      </c>
      <c r="K271" s="9">
        <v>1.72</v>
      </c>
      <c r="L271" s="9">
        <v>2.41</v>
      </c>
      <c r="M271" s="9">
        <v>1276</v>
      </c>
      <c r="N271" s="9">
        <v>8.5</v>
      </c>
      <c r="O271" s="9">
        <v>1.7</v>
      </c>
      <c r="P271" s="41">
        <v>25</v>
      </c>
    </row>
    <row r="272" spans="1:16" x14ac:dyDescent="0.3">
      <c r="A272" s="9"/>
      <c r="B272" s="37">
        <v>5.1139433523068369</v>
      </c>
      <c r="C272" s="9" t="s">
        <v>93</v>
      </c>
      <c r="D272" s="37">
        <v>130000</v>
      </c>
      <c r="E272" s="9">
        <v>0.14000000000000001</v>
      </c>
      <c r="F272" s="9">
        <v>253.28</v>
      </c>
      <c r="G272" s="9">
        <v>0</v>
      </c>
      <c r="H272" s="9">
        <v>1</v>
      </c>
      <c r="I272" s="9">
        <v>-1.03</v>
      </c>
      <c r="J272" s="9">
        <v>1</v>
      </c>
      <c r="K272" s="9">
        <v>1.72</v>
      </c>
      <c r="L272" s="9">
        <v>2.41</v>
      </c>
      <c r="M272" s="9">
        <v>850</v>
      </c>
      <c r="N272" s="9">
        <v>7.8</v>
      </c>
      <c r="O272" s="9">
        <v>5.66</v>
      </c>
      <c r="P272" s="41">
        <v>25</v>
      </c>
    </row>
    <row r="273" spans="1:16" x14ac:dyDescent="0.3">
      <c r="A273" s="9"/>
      <c r="B273" s="37">
        <v>5.3802112417116055</v>
      </c>
      <c r="C273" s="9" t="s">
        <v>42</v>
      </c>
      <c r="D273" s="37">
        <v>239999.9999999998</v>
      </c>
      <c r="E273" s="9">
        <v>0.92</v>
      </c>
      <c r="F273" s="9">
        <v>290.3</v>
      </c>
      <c r="G273" s="9">
        <v>1</v>
      </c>
      <c r="H273" s="9">
        <v>0</v>
      </c>
      <c r="I273" s="9">
        <v>-2.42</v>
      </c>
      <c r="J273" s="9">
        <v>1</v>
      </c>
      <c r="K273" s="9">
        <v>2.21</v>
      </c>
      <c r="L273" s="9">
        <v>2.86</v>
      </c>
      <c r="M273" s="9">
        <v>1276</v>
      </c>
      <c r="N273" s="9">
        <v>8.5</v>
      </c>
      <c r="O273" s="9">
        <v>1.7</v>
      </c>
      <c r="P273" s="41">
        <v>25</v>
      </c>
    </row>
    <row r="274" spans="1:16" x14ac:dyDescent="0.3">
      <c r="A274" s="9"/>
      <c r="B274" s="37">
        <v>4.9777236052888476</v>
      </c>
      <c r="C274" s="9" t="s">
        <v>42</v>
      </c>
      <c r="D274" s="37">
        <v>95000</v>
      </c>
      <c r="E274" s="9">
        <v>0.92</v>
      </c>
      <c r="F274" s="9">
        <v>290.3</v>
      </c>
      <c r="G274" s="9">
        <v>1</v>
      </c>
      <c r="H274" s="9">
        <v>0</v>
      </c>
      <c r="I274" s="9">
        <v>-2.42</v>
      </c>
      <c r="J274" s="9">
        <v>1</v>
      </c>
      <c r="K274" s="9">
        <v>2.21</v>
      </c>
      <c r="L274" s="9">
        <v>2.86</v>
      </c>
      <c r="M274" s="9">
        <v>850</v>
      </c>
      <c r="N274" s="9">
        <v>7.8</v>
      </c>
      <c r="O274" s="9">
        <v>5.66</v>
      </c>
      <c r="P274" s="41">
        <v>25</v>
      </c>
    </row>
    <row r="275" spans="1:16" x14ac:dyDescent="0.3">
      <c r="A275" s="9"/>
      <c r="B275" s="37">
        <v>5.511040343279225</v>
      </c>
      <c r="C275" s="9" t="s">
        <v>44</v>
      </c>
      <c r="D275" s="37">
        <v>324369.74789916002</v>
      </c>
      <c r="E275" s="9">
        <v>0.74</v>
      </c>
      <c r="F275" s="9">
        <v>277.39999999999998</v>
      </c>
      <c r="G275" s="9">
        <v>1</v>
      </c>
      <c r="H275" s="9">
        <v>0</v>
      </c>
      <c r="I275" s="9">
        <v>-0.56999999999999995</v>
      </c>
      <c r="J275" s="9">
        <v>1</v>
      </c>
      <c r="K275" s="9">
        <v>2.62</v>
      </c>
      <c r="L275" s="9">
        <v>2.94</v>
      </c>
      <c r="M275" s="9">
        <v>1276</v>
      </c>
      <c r="N275" s="9">
        <v>8.5</v>
      </c>
      <c r="O275" s="9">
        <v>1.7</v>
      </c>
      <c r="P275" s="41">
        <v>25</v>
      </c>
    </row>
    <row r="276" spans="1:16" x14ac:dyDescent="0.3">
      <c r="A276" s="9"/>
      <c r="B276" s="37">
        <v>4.9562334440787827</v>
      </c>
      <c r="C276" s="9" t="s">
        <v>44</v>
      </c>
      <c r="D276" s="37">
        <v>90413.533834586284</v>
      </c>
      <c r="E276" s="9">
        <v>0.74</v>
      </c>
      <c r="F276" s="9">
        <v>277.39999999999998</v>
      </c>
      <c r="G276" s="9">
        <v>1</v>
      </c>
      <c r="H276" s="9">
        <v>0</v>
      </c>
      <c r="I276" s="9">
        <v>-0.56999999999999995</v>
      </c>
      <c r="J276" s="9">
        <v>1</v>
      </c>
      <c r="K276" s="9">
        <v>2.62</v>
      </c>
      <c r="L276" s="9">
        <v>2.94</v>
      </c>
      <c r="M276" s="9">
        <v>850</v>
      </c>
      <c r="N276" s="9">
        <v>7.8</v>
      </c>
      <c r="O276" s="9">
        <v>5.66</v>
      </c>
      <c r="P276" s="41">
        <v>25</v>
      </c>
    </row>
    <row r="277" spans="1:16" x14ac:dyDescent="0.3">
      <c r="A277" s="9"/>
      <c r="B277" s="37">
        <v>5.427774533135544</v>
      </c>
      <c r="C277" s="9" t="s">
        <v>45</v>
      </c>
      <c r="D277" s="37">
        <v>267777.77777777822</v>
      </c>
      <c r="E277" s="9">
        <v>0.59</v>
      </c>
      <c r="F277" s="9">
        <v>263.39999999999998</v>
      </c>
      <c r="G277" s="9">
        <v>1</v>
      </c>
      <c r="H277" s="9">
        <v>0</v>
      </c>
      <c r="I277" s="9">
        <v>-0.31</v>
      </c>
      <c r="J277" s="9">
        <v>1</v>
      </c>
      <c r="K277" s="9">
        <v>2.36</v>
      </c>
      <c r="L277" s="9">
        <v>3.24</v>
      </c>
      <c r="M277" s="9">
        <v>1276</v>
      </c>
      <c r="N277" s="9">
        <v>8.5</v>
      </c>
      <c r="O277" s="9">
        <v>1.7</v>
      </c>
      <c r="P277" s="41">
        <v>25</v>
      </c>
    </row>
    <row r="278" spans="1:16" x14ac:dyDescent="0.3">
      <c r="A278" s="9"/>
      <c r="B278" s="37">
        <v>4.8108631821892374</v>
      </c>
      <c r="C278" s="9" t="s">
        <v>45</v>
      </c>
      <c r="D278" s="37">
        <v>64693.877551020378</v>
      </c>
      <c r="E278" s="9">
        <v>0.59</v>
      </c>
      <c r="F278" s="9">
        <v>263.39999999999998</v>
      </c>
      <c r="G278" s="9">
        <v>1</v>
      </c>
      <c r="H278" s="9">
        <v>0</v>
      </c>
      <c r="I278" s="9">
        <v>-0.31</v>
      </c>
      <c r="J278" s="9">
        <v>1</v>
      </c>
      <c r="K278" s="9">
        <v>2.36</v>
      </c>
      <c r="L278" s="9">
        <v>3.24</v>
      </c>
      <c r="M278" s="9">
        <v>850</v>
      </c>
      <c r="N278" s="9">
        <v>7.8</v>
      </c>
      <c r="O278" s="9">
        <v>5.66</v>
      </c>
      <c r="P278" s="41">
        <v>25</v>
      </c>
    </row>
    <row r="279" spans="1:16" x14ac:dyDescent="0.3">
      <c r="A279" s="9"/>
      <c r="B279" s="37">
        <v>5.2186368370648371</v>
      </c>
      <c r="C279" s="9" t="s">
        <v>41</v>
      </c>
      <c r="D279" s="37">
        <v>165438.59649122797</v>
      </c>
      <c r="E279" s="9">
        <v>-0.8</v>
      </c>
      <c r="F279" s="9">
        <v>361.4</v>
      </c>
      <c r="G279" s="9">
        <v>0</v>
      </c>
      <c r="H279" s="9">
        <v>0</v>
      </c>
      <c r="I279" s="9">
        <v>-2.21</v>
      </c>
      <c r="J279" s="9">
        <v>1</v>
      </c>
      <c r="K279" s="9">
        <v>2.44</v>
      </c>
      <c r="L279" s="9">
        <v>1.0900000000000001</v>
      </c>
      <c r="M279" s="9">
        <v>1276</v>
      </c>
      <c r="N279" s="9">
        <v>8.5</v>
      </c>
      <c r="O279" s="9">
        <v>1.7</v>
      </c>
      <c r="P279" s="41">
        <v>25</v>
      </c>
    </row>
    <row r="280" spans="1:16" x14ac:dyDescent="0.3">
      <c r="A280" s="9"/>
      <c r="B280" s="37">
        <v>4.2762064119389489</v>
      </c>
      <c r="C280" s="9" t="s">
        <v>41</v>
      </c>
      <c r="D280" s="37">
        <v>18888.888888888891</v>
      </c>
      <c r="E280" s="9">
        <v>-0.8</v>
      </c>
      <c r="F280" s="9">
        <v>361.4</v>
      </c>
      <c r="G280" s="9">
        <v>0</v>
      </c>
      <c r="H280" s="9">
        <v>0</v>
      </c>
      <c r="I280" s="9">
        <v>-2.21</v>
      </c>
      <c r="J280" s="9">
        <v>1</v>
      </c>
      <c r="K280" s="9">
        <v>2.44</v>
      </c>
      <c r="L280" s="9">
        <v>1.0900000000000001</v>
      </c>
      <c r="M280" s="9">
        <v>850</v>
      </c>
      <c r="N280" s="9">
        <v>7.8</v>
      </c>
      <c r="O280" s="9">
        <v>5.66</v>
      </c>
      <c r="P280" s="41">
        <v>25</v>
      </c>
    </row>
    <row r="281" spans="1:16" x14ac:dyDescent="0.3">
      <c r="A281" s="9"/>
      <c r="B281" s="37">
        <v>5.7164545587215194</v>
      </c>
      <c r="C281" s="9" t="s">
        <v>50</v>
      </c>
      <c r="D281" s="37">
        <v>520540.54054053914</v>
      </c>
      <c r="E281" s="9">
        <v>-0.47</v>
      </c>
      <c r="F281" s="9">
        <v>267.3</v>
      </c>
      <c r="G281" s="9">
        <v>1</v>
      </c>
      <c r="H281" s="9">
        <v>0</v>
      </c>
      <c r="I281" s="9">
        <v>0.3</v>
      </c>
      <c r="J281" s="9">
        <v>1</v>
      </c>
      <c r="K281" s="9">
        <v>2.59</v>
      </c>
      <c r="L281" s="9">
        <v>2.06</v>
      </c>
      <c r="M281" s="9">
        <v>1276</v>
      </c>
      <c r="N281" s="9">
        <v>8.5</v>
      </c>
      <c r="O281" s="9">
        <v>1.7</v>
      </c>
      <c r="P281" s="41">
        <v>25</v>
      </c>
    </row>
    <row r="282" spans="1:16" x14ac:dyDescent="0.3">
      <c r="A282" s="9"/>
      <c r="B282" s="37">
        <v>5.2106229092299401</v>
      </c>
      <c r="C282" s="9" t="s">
        <v>50</v>
      </c>
      <c r="D282" s="37">
        <v>162413.79310344829</v>
      </c>
      <c r="E282" s="9">
        <v>-0.47</v>
      </c>
      <c r="F282" s="9">
        <v>267.3</v>
      </c>
      <c r="G282" s="9">
        <v>1</v>
      </c>
      <c r="H282" s="9">
        <v>0</v>
      </c>
      <c r="I282" s="9">
        <v>0.3</v>
      </c>
      <c r="J282" s="9">
        <v>1</v>
      </c>
      <c r="K282" s="9">
        <v>2.59</v>
      </c>
      <c r="L282" s="9">
        <v>2.06</v>
      </c>
      <c r="M282" s="9">
        <v>850</v>
      </c>
      <c r="N282" s="9">
        <v>7.8</v>
      </c>
      <c r="O282" s="9">
        <v>5.66</v>
      </c>
      <c r="P282" s="41">
        <v>25</v>
      </c>
    </row>
    <row r="283" spans="1:16" x14ac:dyDescent="0.3">
      <c r="A283" s="9"/>
      <c r="B283" s="37">
        <v>5.5618349893672487</v>
      </c>
      <c r="C283" s="9" t="s">
        <v>51</v>
      </c>
      <c r="D283" s="37">
        <v>364615.38461538497</v>
      </c>
      <c r="E283" s="9">
        <v>-1.24</v>
      </c>
      <c r="F283" s="9">
        <v>267.3</v>
      </c>
      <c r="G283" s="9">
        <v>0</v>
      </c>
      <c r="H283" s="9">
        <v>1</v>
      </c>
      <c r="I283" s="9">
        <v>-1.47</v>
      </c>
      <c r="J283" s="9">
        <v>1</v>
      </c>
      <c r="K283" s="9">
        <v>3.3</v>
      </c>
      <c r="L283" s="9">
        <v>1.23</v>
      </c>
      <c r="M283" s="9">
        <v>1276</v>
      </c>
      <c r="N283" s="9">
        <v>8.5</v>
      </c>
      <c r="O283" s="9">
        <v>1.7</v>
      </c>
      <c r="P283" s="41">
        <v>25</v>
      </c>
    </row>
    <row r="284" spans="1:16" x14ac:dyDescent="0.3">
      <c r="A284" s="9"/>
      <c r="B284" s="37">
        <v>5.1143945673935569</v>
      </c>
      <c r="C284" s="9" t="s">
        <v>51</v>
      </c>
      <c r="D284" s="37">
        <v>130135.13513513478</v>
      </c>
      <c r="E284" s="9">
        <v>-1.24</v>
      </c>
      <c r="F284" s="9">
        <v>267.3</v>
      </c>
      <c r="G284" s="9">
        <v>0</v>
      </c>
      <c r="H284" s="9">
        <v>1</v>
      </c>
      <c r="I284" s="9">
        <v>-1.47</v>
      </c>
      <c r="J284" s="9">
        <v>1</v>
      </c>
      <c r="K284" s="9">
        <v>3.3</v>
      </c>
      <c r="L284" s="9">
        <v>1.23</v>
      </c>
      <c r="M284" s="9">
        <v>850</v>
      </c>
      <c r="N284" s="9">
        <v>7.8</v>
      </c>
      <c r="O284" s="9">
        <v>5.66</v>
      </c>
      <c r="P284" s="41">
        <v>25</v>
      </c>
    </row>
    <row r="285" spans="1:16" x14ac:dyDescent="0.3">
      <c r="A285" s="9"/>
      <c r="B285" s="37">
        <v>4.9424673809148425</v>
      </c>
      <c r="C285" s="9" t="s">
        <v>49</v>
      </c>
      <c r="D285" s="37">
        <v>87592.592592592424</v>
      </c>
      <c r="E285" s="9">
        <v>0.72</v>
      </c>
      <c r="F285" s="9">
        <v>254.3</v>
      </c>
      <c r="G285" s="9">
        <v>0</v>
      </c>
      <c r="H285" s="9">
        <v>1</v>
      </c>
      <c r="I285" s="9">
        <v>-0.85</v>
      </c>
      <c r="J285" s="9">
        <v>2</v>
      </c>
      <c r="K285" s="9">
        <v>2.12</v>
      </c>
      <c r="L285" s="9">
        <v>2.59</v>
      </c>
      <c r="M285" s="9">
        <v>1276</v>
      </c>
      <c r="N285" s="9">
        <v>8.5</v>
      </c>
      <c r="O285" s="9">
        <v>1.7</v>
      </c>
      <c r="P285" s="41">
        <v>25</v>
      </c>
    </row>
    <row r="286" spans="1:16" x14ac:dyDescent="0.3">
      <c r="A286" s="9"/>
      <c r="B286" s="37">
        <v>4.7256163570654506</v>
      </c>
      <c r="C286" s="9" t="s">
        <v>49</v>
      </c>
      <c r="D286" s="37">
        <v>53163.841807909615</v>
      </c>
      <c r="E286" s="9">
        <v>0.72</v>
      </c>
      <c r="F286" s="9">
        <v>254.3</v>
      </c>
      <c r="G286" s="9">
        <v>0</v>
      </c>
      <c r="H286" s="9">
        <v>1</v>
      </c>
      <c r="I286" s="9">
        <v>-0.85</v>
      </c>
      <c r="J286" s="9">
        <v>2</v>
      </c>
      <c r="K286" s="9">
        <v>2.12</v>
      </c>
      <c r="L286" s="9">
        <v>2.59</v>
      </c>
      <c r="M286" s="9">
        <v>850</v>
      </c>
      <c r="N286" s="9">
        <v>7.8</v>
      </c>
      <c r="O286" s="9">
        <v>5.66</v>
      </c>
      <c r="P286" s="41">
        <v>25</v>
      </c>
    </row>
    <row r="287" spans="1:16" x14ac:dyDescent="0.3">
      <c r="A287" s="9"/>
      <c r="B287" s="37">
        <v>4.9542425094393252</v>
      </c>
      <c r="C287" s="9" t="s">
        <v>53</v>
      </c>
      <c r="D287" s="37">
        <v>90000</v>
      </c>
      <c r="E287" s="9">
        <v>-0.44</v>
      </c>
      <c r="F287" s="9">
        <v>791.1</v>
      </c>
      <c r="G287" s="9">
        <v>0</v>
      </c>
      <c r="H287" s="9">
        <v>0</v>
      </c>
      <c r="I287" s="9">
        <v>-2.2400000000000002</v>
      </c>
      <c r="J287" s="9">
        <v>1</v>
      </c>
      <c r="K287" s="9">
        <v>3.64</v>
      </c>
      <c r="L287" s="40">
        <v>1</v>
      </c>
      <c r="M287" s="9">
        <v>1276</v>
      </c>
      <c r="N287" s="9">
        <v>8.5</v>
      </c>
      <c r="O287" s="9">
        <v>1.7</v>
      </c>
      <c r="P287" s="41">
        <v>25</v>
      </c>
    </row>
    <row r="288" spans="1:16" x14ac:dyDescent="0.3">
      <c r="A288" s="9"/>
      <c r="B288" s="37">
        <v>4.2762064119389489</v>
      </c>
      <c r="C288" s="9" t="s">
        <v>53</v>
      </c>
      <c r="D288" s="37">
        <v>18888.888888888891</v>
      </c>
      <c r="E288" s="9">
        <v>-0.44</v>
      </c>
      <c r="F288" s="9">
        <v>791.1</v>
      </c>
      <c r="G288" s="9">
        <v>0</v>
      </c>
      <c r="H288" s="9">
        <v>0</v>
      </c>
      <c r="I288" s="9">
        <v>-2.2400000000000002</v>
      </c>
      <c r="J288" s="9">
        <v>1</v>
      </c>
      <c r="K288" s="9">
        <v>3.64</v>
      </c>
      <c r="L288" s="40">
        <v>1</v>
      </c>
      <c r="M288" s="9">
        <v>850</v>
      </c>
      <c r="N288" s="9">
        <v>7.8</v>
      </c>
      <c r="O288" s="9">
        <v>5.66</v>
      </c>
      <c r="P288" s="41">
        <v>25</v>
      </c>
    </row>
    <row r="289" spans="1:16" x14ac:dyDescent="0.3">
      <c r="A289" s="9"/>
      <c r="B289" s="37">
        <v>5.252074109402483</v>
      </c>
      <c r="C289" s="9" t="s">
        <v>52</v>
      </c>
      <c r="D289" s="37">
        <v>178679.24528301848</v>
      </c>
      <c r="E289" s="9">
        <v>-1.45</v>
      </c>
      <c r="F289" s="9">
        <v>330.7</v>
      </c>
      <c r="G289" s="9">
        <v>0</v>
      </c>
      <c r="H289" s="9">
        <v>1</v>
      </c>
      <c r="I289" s="9">
        <v>-3.18</v>
      </c>
      <c r="J289" s="9">
        <v>1</v>
      </c>
      <c r="K289" s="9">
        <v>2.06</v>
      </c>
      <c r="L289" s="9">
        <v>2.04</v>
      </c>
      <c r="M289" s="9">
        <v>1276</v>
      </c>
      <c r="N289" s="9">
        <v>8.5</v>
      </c>
      <c r="O289" s="9">
        <v>1.7</v>
      </c>
      <c r="P289" s="41">
        <v>25</v>
      </c>
    </row>
    <row r="290" spans="1:16" x14ac:dyDescent="0.3">
      <c r="A290" s="9"/>
      <c r="B290" s="37">
        <v>4.989791279485452</v>
      </c>
      <c r="C290" s="9" t="s">
        <v>52</v>
      </c>
      <c r="D290" s="37">
        <v>97676.76767676766</v>
      </c>
      <c r="E290" s="9">
        <v>-1.45</v>
      </c>
      <c r="F290" s="9">
        <v>330.7</v>
      </c>
      <c r="G290" s="9">
        <v>0</v>
      </c>
      <c r="H290" s="9">
        <v>1</v>
      </c>
      <c r="I290" s="9">
        <v>-3.18</v>
      </c>
      <c r="J290" s="9">
        <v>1</v>
      </c>
      <c r="K290" s="9">
        <v>2.06</v>
      </c>
      <c r="L290" s="9">
        <v>2.04</v>
      </c>
      <c r="M290" s="9">
        <v>850</v>
      </c>
      <c r="N290" s="9">
        <v>7.8</v>
      </c>
      <c r="O290" s="9">
        <v>5.66</v>
      </c>
      <c r="P290" s="41">
        <v>25</v>
      </c>
    </row>
    <row r="291" spans="1:16" x14ac:dyDescent="0.3">
      <c r="A291" s="9"/>
      <c r="B291" s="37">
        <v>5.5351132016973486</v>
      </c>
      <c r="C291" s="9" t="s">
        <v>47</v>
      </c>
      <c r="D291" s="37">
        <v>342857.14285714261</v>
      </c>
      <c r="E291" s="9">
        <v>1.85</v>
      </c>
      <c r="F291" s="9">
        <v>250.3</v>
      </c>
      <c r="G291" s="9">
        <v>0</v>
      </c>
      <c r="H291" s="9">
        <v>1</v>
      </c>
      <c r="I291" s="9">
        <v>-0.73</v>
      </c>
      <c r="J291" s="9">
        <v>1</v>
      </c>
      <c r="K291" s="9">
        <v>2.4</v>
      </c>
      <c r="L291" s="9">
        <v>2.64</v>
      </c>
      <c r="M291" s="9">
        <v>1276</v>
      </c>
      <c r="N291" s="9">
        <v>8.5</v>
      </c>
      <c r="O291" s="9">
        <v>1.7</v>
      </c>
      <c r="P291" s="41">
        <v>25</v>
      </c>
    </row>
    <row r="292" spans="1:16" x14ac:dyDescent="0.3">
      <c r="A292" s="9"/>
      <c r="B292" s="37">
        <v>5.0119999999999996</v>
      </c>
      <c r="C292" s="9" t="s">
        <v>47</v>
      </c>
      <c r="D292" s="37">
        <v>100000</v>
      </c>
      <c r="E292" s="9">
        <v>1.85</v>
      </c>
      <c r="F292" s="9">
        <v>250.3</v>
      </c>
      <c r="G292" s="9">
        <v>0</v>
      </c>
      <c r="H292" s="9">
        <v>1</v>
      </c>
      <c r="I292" s="9">
        <v>-0.73</v>
      </c>
      <c r="J292" s="9">
        <v>1</v>
      </c>
      <c r="K292" s="9">
        <v>2.4</v>
      </c>
      <c r="L292" s="9">
        <v>2.64</v>
      </c>
      <c r="M292" s="9">
        <v>850</v>
      </c>
      <c r="N292" s="9">
        <v>7.8</v>
      </c>
      <c r="O292" s="9">
        <v>5.66</v>
      </c>
      <c r="P292" s="41">
        <v>25</v>
      </c>
    </row>
    <row r="293" spans="1:16" x14ac:dyDescent="0.3">
      <c r="A293" s="9"/>
      <c r="B293" s="37">
        <v>5.4716925030082635</v>
      </c>
      <c r="C293" s="9" t="s">
        <v>40</v>
      </c>
      <c r="D293" s="37">
        <v>296273.29192546528</v>
      </c>
      <c r="E293" s="9">
        <v>0.6</v>
      </c>
      <c r="F293" s="9">
        <v>733.9</v>
      </c>
      <c r="G293" s="9">
        <v>1</v>
      </c>
      <c r="H293" s="9">
        <v>0</v>
      </c>
      <c r="I293" s="9">
        <v>-0.27</v>
      </c>
      <c r="J293" s="9">
        <v>0</v>
      </c>
      <c r="K293" s="9">
        <v>6.07</v>
      </c>
      <c r="L293" s="9">
        <v>2.75</v>
      </c>
      <c r="M293" s="9">
        <v>1276</v>
      </c>
      <c r="N293" s="9">
        <v>8.5</v>
      </c>
      <c r="O293" s="9">
        <v>1.7</v>
      </c>
      <c r="P293" s="41">
        <v>25</v>
      </c>
    </row>
    <row r="294" spans="1:16" x14ac:dyDescent="0.3">
      <c r="A294" s="9"/>
      <c r="B294" s="37">
        <v>5.0906287849780645</v>
      </c>
      <c r="C294" s="9" t="s">
        <v>40</v>
      </c>
      <c r="D294" s="37">
        <v>123205.12820512801</v>
      </c>
      <c r="E294" s="9">
        <v>0.6</v>
      </c>
      <c r="F294" s="9">
        <v>733.9</v>
      </c>
      <c r="G294" s="9">
        <v>1</v>
      </c>
      <c r="H294" s="9">
        <v>0</v>
      </c>
      <c r="I294" s="9">
        <v>-0.27</v>
      </c>
      <c r="J294" s="9">
        <v>0</v>
      </c>
      <c r="K294" s="9">
        <v>6.07</v>
      </c>
      <c r="L294" s="9">
        <v>2.75</v>
      </c>
      <c r="M294" s="9">
        <v>850</v>
      </c>
      <c r="N294" s="9">
        <v>7.8</v>
      </c>
      <c r="O294" s="9">
        <v>5.66</v>
      </c>
      <c r="P294" s="41">
        <v>25</v>
      </c>
    </row>
    <row r="295" spans="1:16" x14ac:dyDescent="0.3">
      <c r="A295" s="9"/>
      <c r="B295" s="37">
        <v>4.9542425094393252</v>
      </c>
      <c r="C295" s="9" t="s">
        <v>94</v>
      </c>
      <c r="D295" s="37">
        <v>90000</v>
      </c>
      <c r="E295" s="9">
        <v>-0.86</v>
      </c>
      <c r="F295" s="9">
        <v>331.34699999999998</v>
      </c>
      <c r="G295" s="9">
        <v>1</v>
      </c>
      <c r="H295" s="9">
        <v>1</v>
      </c>
      <c r="I295" s="9">
        <v>-2.27</v>
      </c>
      <c r="J295" s="9">
        <v>1</v>
      </c>
      <c r="K295" s="38">
        <v>2.3047</v>
      </c>
      <c r="L295" s="9">
        <v>1.55</v>
      </c>
      <c r="M295" s="9">
        <v>1276</v>
      </c>
      <c r="N295" s="9">
        <v>8.5</v>
      </c>
      <c r="O295" s="9">
        <v>1.7</v>
      </c>
      <c r="P295" s="41">
        <v>25</v>
      </c>
    </row>
    <row r="296" spans="1:16" x14ac:dyDescent="0.3">
      <c r="A296" s="9"/>
      <c r="B296" s="37">
        <v>4.653212513775344</v>
      </c>
      <c r="C296" s="9" t="s">
        <v>94</v>
      </c>
      <c r="D296" s="37">
        <v>45000</v>
      </c>
      <c r="E296" s="9">
        <v>-0.86</v>
      </c>
      <c r="F296" s="9">
        <v>331.34699999999998</v>
      </c>
      <c r="G296" s="9">
        <v>1</v>
      </c>
      <c r="H296" s="9">
        <v>1</v>
      </c>
      <c r="I296" s="9">
        <v>-2.27</v>
      </c>
      <c r="J296" s="9">
        <v>1</v>
      </c>
      <c r="K296" s="38">
        <v>2.3047</v>
      </c>
      <c r="L296" s="9">
        <v>1.55</v>
      </c>
      <c r="M296" s="9">
        <v>850</v>
      </c>
      <c r="N296" s="9">
        <v>7.8</v>
      </c>
      <c r="O296" s="9">
        <v>5.66</v>
      </c>
      <c r="P296" s="41">
        <v>25</v>
      </c>
    </row>
    <row r="297" spans="1:16" x14ac:dyDescent="0.3">
      <c r="A297" s="9"/>
      <c r="B297" s="37">
        <v>5.5051499783199054</v>
      </c>
      <c r="C297" s="9" t="s">
        <v>48</v>
      </c>
      <c r="D297" s="37">
        <v>319999.99999999971</v>
      </c>
      <c r="E297" s="9">
        <v>1.38</v>
      </c>
      <c r="F297" s="9">
        <v>296.2</v>
      </c>
      <c r="G297" s="9">
        <v>0</v>
      </c>
      <c r="H297" s="9">
        <v>1</v>
      </c>
      <c r="I297" s="9">
        <v>-1.3</v>
      </c>
      <c r="J297" s="9">
        <v>2</v>
      </c>
      <c r="K297" s="9">
        <v>2.0699999999999998</v>
      </c>
      <c r="L297" s="9">
        <v>2.66</v>
      </c>
      <c r="M297" s="9">
        <v>1276</v>
      </c>
      <c r="N297" s="9">
        <v>8.5</v>
      </c>
      <c r="O297" s="9">
        <v>1.7</v>
      </c>
      <c r="P297" s="41">
        <v>25</v>
      </c>
    </row>
    <row r="298" spans="1:16" x14ac:dyDescent="0.3">
      <c r="A298" s="9"/>
      <c r="B298" s="37">
        <v>4.9777236052888476</v>
      </c>
      <c r="C298" s="9" t="s">
        <v>48</v>
      </c>
      <c r="D298" s="37">
        <v>95000</v>
      </c>
      <c r="E298" s="9">
        <v>1.38</v>
      </c>
      <c r="F298" s="9">
        <v>296.2</v>
      </c>
      <c r="G298" s="9">
        <v>0</v>
      </c>
      <c r="H298" s="9">
        <v>1</v>
      </c>
      <c r="I298" s="9">
        <v>-1.3</v>
      </c>
      <c r="J298" s="9">
        <v>2</v>
      </c>
      <c r="K298" s="9">
        <v>2.0699999999999998</v>
      </c>
      <c r="L298" s="9">
        <v>2.66</v>
      </c>
      <c r="M298" s="9">
        <v>850</v>
      </c>
      <c r="N298" s="9">
        <v>7.8</v>
      </c>
      <c r="O298" s="9">
        <v>5.66</v>
      </c>
      <c r="P298" s="41">
        <v>25</v>
      </c>
    </row>
    <row r="299" spans="1:16" x14ac:dyDescent="0.3">
      <c r="A299" s="9"/>
      <c r="B299" s="37">
        <v>5.4960065988800348</v>
      </c>
      <c r="C299" s="9" t="s">
        <v>46</v>
      </c>
      <c r="D299" s="37">
        <v>313333.3333333325</v>
      </c>
      <c r="E299" s="9">
        <v>0.97</v>
      </c>
      <c r="F299" s="9">
        <v>361.8</v>
      </c>
      <c r="G299" s="9">
        <v>0</v>
      </c>
      <c r="H299" s="9">
        <v>1</v>
      </c>
      <c r="I299" s="9">
        <v>-1.69</v>
      </c>
      <c r="J299" s="9">
        <v>2</v>
      </c>
      <c r="K299" s="9">
        <v>2.87</v>
      </c>
      <c r="L299" s="9">
        <v>2.62</v>
      </c>
      <c r="M299" s="9">
        <v>1276</v>
      </c>
      <c r="N299" s="9">
        <v>8.5</v>
      </c>
      <c r="O299" s="9">
        <v>1.7</v>
      </c>
      <c r="P299" s="41">
        <v>25</v>
      </c>
    </row>
    <row r="300" spans="1:16" x14ac:dyDescent="0.3">
      <c r="A300" s="9"/>
      <c r="B300" s="37">
        <v>4.9597749980392862</v>
      </c>
      <c r="C300" s="9" t="s">
        <v>46</v>
      </c>
      <c r="D300" s="37">
        <v>91153.846153846243</v>
      </c>
      <c r="E300" s="9">
        <v>0.97</v>
      </c>
      <c r="F300" s="9">
        <v>361.8</v>
      </c>
      <c r="G300" s="9">
        <v>0</v>
      </c>
      <c r="H300" s="9">
        <v>1</v>
      </c>
      <c r="I300" s="9">
        <v>-1.69</v>
      </c>
      <c r="J300" s="9">
        <v>2</v>
      </c>
      <c r="K300" s="9">
        <v>2.87</v>
      </c>
      <c r="L300" s="9">
        <v>2.62</v>
      </c>
      <c r="M300" s="9">
        <v>850</v>
      </c>
      <c r="N300" s="9">
        <v>7.8</v>
      </c>
      <c r="O300" s="9">
        <v>5.66</v>
      </c>
      <c r="P300" s="41">
        <v>25</v>
      </c>
    </row>
    <row r="301" spans="1:16" x14ac:dyDescent="0.3">
      <c r="A301" s="9"/>
      <c r="B301" s="37">
        <v>5.5984257066728675</v>
      </c>
      <c r="C301" s="9" t="s">
        <v>43</v>
      </c>
      <c r="D301" s="37">
        <v>396666.66666666628</v>
      </c>
      <c r="E301" s="9">
        <v>2.77</v>
      </c>
      <c r="F301" s="9">
        <v>236.3</v>
      </c>
      <c r="G301" s="9">
        <v>0</v>
      </c>
      <c r="H301" s="9">
        <v>0</v>
      </c>
      <c r="I301" s="9">
        <v>-3.79</v>
      </c>
      <c r="J301" s="9">
        <v>2</v>
      </c>
      <c r="K301" s="9">
        <v>1.87</v>
      </c>
      <c r="L301" s="9">
        <v>3.12</v>
      </c>
      <c r="M301" s="9">
        <v>1276</v>
      </c>
      <c r="N301" s="9">
        <v>8.5</v>
      </c>
      <c r="O301" s="9">
        <v>1.7</v>
      </c>
      <c r="P301" s="41">
        <v>25</v>
      </c>
    </row>
    <row r="302" spans="1:16" x14ac:dyDescent="0.3">
      <c r="A302" s="9"/>
      <c r="B302" s="37">
        <v>5.1394292733295366</v>
      </c>
      <c r="C302" s="9" t="s">
        <v>43</v>
      </c>
      <c r="D302" s="37">
        <v>137857.14285714302</v>
      </c>
      <c r="E302" s="9">
        <v>2.77</v>
      </c>
      <c r="F302" s="9">
        <v>236.3</v>
      </c>
      <c r="G302" s="9">
        <v>0</v>
      </c>
      <c r="H302" s="9">
        <v>0</v>
      </c>
      <c r="I302" s="9">
        <v>-3.79</v>
      </c>
      <c r="J302" s="9">
        <v>2</v>
      </c>
      <c r="K302" s="9">
        <v>1.87</v>
      </c>
      <c r="L302" s="9">
        <v>3.12</v>
      </c>
      <c r="M302" s="9">
        <v>850</v>
      </c>
      <c r="N302" s="9">
        <v>7.8</v>
      </c>
      <c r="O302" s="9">
        <v>5.66</v>
      </c>
      <c r="P302" s="41">
        <v>25</v>
      </c>
    </row>
    <row r="303" spans="1:16" x14ac:dyDescent="0.3">
      <c r="A303" s="9"/>
      <c r="B303" s="37">
        <v>5.4589282498936447</v>
      </c>
      <c r="C303" s="9" t="s">
        <v>39</v>
      </c>
      <c r="D303" s="37">
        <v>287692.30769230839</v>
      </c>
      <c r="E303" s="9">
        <v>-3.06</v>
      </c>
      <c r="F303" s="9">
        <v>749</v>
      </c>
      <c r="G303" s="9">
        <v>1</v>
      </c>
      <c r="H303" s="9">
        <v>0</v>
      </c>
      <c r="I303" s="9">
        <v>0.38</v>
      </c>
      <c r="J303" s="9">
        <v>0</v>
      </c>
      <c r="K303" s="9">
        <v>6.33</v>
      </c>
      <c r="L303" s="9">
        <v>3.5</v>
      </c>
      <c r="M303" s="9">
        <v>1276</v>
      </c>
      <c r="N303" s="9">
        <v>8.5</v>
      </c>
      <c r="O303" s="9">
        <v>1.7</v>
      </c>
      <c r="P303" s="41">
        <v>25</v>
      </c>
    </row>
    <row r="304" spans="1:16" x14ac:dyDescent="0.3">
      <c r="A304" s="9"/>
      <c r="B304" s="37">
        <v>4.8568682585656822</v>
      </c>
      <c r="C304" s="9" t="s">
        <v>39</v>
      </c>
      <c r="D304" s="37">
        <v>71923.076923077097</v>
      </c>
      <c r="E304" s="9">
        <v>-3.06</v>
      </c>
      <c r="F304" s="9">
        <v>749</v>
      </c>
      <c r="G304" s="9">
        <v>1</v>
      </c>
      <c r="H304" s="9">
        <v>0</v>
      </c>
      <c r="I304" s="9">
        <v>0.38</v>
      </c>
      <c r="J304" s="9">
        <v>0</v>
      </c>
      <c r="K304" s="9">
        <v>6.33</v>
      </c>
      <c r="L304" s="9">
        <v>3.5</v>
      </c>
      <c r="M304" s="9">
        <v>850</v>
      </c>
      <c r="N304" s="9">
        <v>7.8</v>
      </c>
      <c r="O304" s="9">
        <v>5.66</v>
      </c>
      <c r="P304" s="41">
        <v>25</v>
      </c>
    </row>
    <row r="305" spans="1:16" x14ac:dyDescent="0.3">
      <c r="A305" s="9"/>
      <c r="B305" s="37">
        <v>4.6812412373755876</v>
      </c>
      <c r="C305" s="9" t="s">
        <v>54</v>
      </c>
      <c r="D305" s="37">
        <v>48000</v>
      </c>
      <c r="E305" s="9">
        <v>-1.64</v>
      </c>
      <c r="F305" s="9">
        <v>239.2</v>
      </c>
      <c r="G305" s="9">
        <v>1</v>
      </c>
      <c r="H305" s="9">
        <v>0</v>
      </c>
      <c r="I305" s="9">
        <v>1.2</v>
      </c>
      <c r="J305" s="9">
        <v>1</v>
      </c>
      <c r="K305" s="9">
        <v>2.08</v>
      </c>
      <c r="L305" s="9">
        <v>1.52</v>
      </c>
      <c r="M305" s="9">
        <v>1183</v>
      </c>
      <c r="N305" s="9">
        <v>8.9</v>
      </c>
      <c r="O305" s="9">
        <v>4.33</v>
      </c>
      <c r="P305" s="41">
        <v>25</v>
      </c>
    </row>
    <row r="306" spans="1:16" x14ac:dyDescent="0.3">
      <c r="A306" s="9"/>
      <c r="B306" s="37">
        <v>4.9385197251764916</v>
      </c>
      <c r="C306" s="9" t="s">
        <v>54</v>
      </c>
      <c r="D306" s="37">
        <v>86800</v>
      </c>
      <c r="E306" s="9">
        <v>-1.64</v>
      </c>
      <c r="F306" s="9">
        <v>239.2</v>
      </c>
      <c r="G306" s="9">
        <v>1</v>
      </c>
      <c r="H306" s="9">
        <v>0</v>
      </c>
      <c r="I306" s="9">
        <v>1.2</v>
      </c>
      <c r="J306" s="9">
        <v>1</v>
      </c>
      <c r="K306" s="9">
        <v>2.08</v>
      </c>
      <c r="L306" s="9">
        <v>1.52</v>
      </c>
      <c r="M306" s="9">
        <v>933</v>
      </c>
      <c r="N306" s="9">
        <v>10.4</v>
      </c>
      <c r="O306" s="9">
        <v>3.35</v>
      </c>
      <c r="P306" s="41">
        <v>25</v>
      </c>
    </row>
    <row r="307" spans="1:16" x14ac:dyDescent="0.3">
      <c r="A307" s="9"/>
      <c r="B307" s="37">
        <v>4.8299466959416355</v>
      </c>
      <c r="C307" s="9" t="s">
        <v>93</v>
      </c>
      <c r="D307" s="37">
        <v>67600</v>
      </c>
      <c r="E307" s="9">
        <v>0.14000000000000001</v>
      </c>
      <c r="F307" s="9">
        <v>253.28</v>
      </c>
      <c r="G307" s="9">
        <v>0</v>
      </c>
      <c r="H307" s="9">
        <v>1</v>
      </c>
      <c r="I307" s="9">
        <v>-1.03</v>
      </c>
      <c r="J307" s="9">
        <v>1</v>
      </c>
      <c r="K307" s="9">
        <v>1.72</v>
      </c>
      <c r="L307" s="9">
        <v>2.41</v>
      </c>
      <c r="M307" s="9">
        <v>1183</v>
      </c>
      <c r="N307" s="9">
        <v>8.9</v>
      </c>
      <c r="O307" s="9">
        <v>4.33</v>
      </c>
      <c r="P307" s="41">
        <v>25</v>
      </c>
    </row>
    <row r="308" spans="1:16" x14ac:dyDescent="0.3">
      <c r="A308" s="9"/>
      <c r="B308" s="37">
        <v>4.9190780923760737</v>
      </c>
      <c r="C308" s="9" t="s">
        <v>93</v>
      </c>
      <c r="D308" s="37">
        <v>83000</v>
      </c>
      <c r="E308" s="9">
        <v>0.14000000000000001</v>
      </c>
      <c r="F308" s="9">
        <v>253.28</v>
      </c>
      <c r="G308" s="9">
        <v>0</v>
      </c>
      <c r="H308" s="9">
        <v>1</v>
      </c>
      <c r="I308" s="9">
        <v>-1.03</v>
      </c>
      <c r="J308" s="9">
        <v>1</v>
      </c>
      <c r="K308" s="9">
        <v>1.72</v>
      </c>
      <c r="L308" s="9">
        <v>2.41</v>
      </c>
      <c r="M308" s="9">
        <v>933</v>
      </c>
      <c r="N308" s="9">
        <v>10.4</v>
      </c>
      <c r="O308" s="9">
        <v>3.35</v>
      </c>
      <c r="P308" s="41">
        <v>25</v>
      </c>
    </row>
    <row r="309" spans="1:16" x14ac:dyDescent="0.3">
      <c r="A309" s="9"/>
      <c r="B309" s="37">
        <v>5.0374264979406238</v>
      </c>
      <c r="C309" s="9" t="s">
        <v>42</v>
      </c>
      <c r="D309" s="37">
        <v>109000</v>
      </c>
      <c r="E309" s="9">
        <v>0.92</v>
      </c>
      <c r="F309" s="9">
        <v>290.3</v>
      </c>
      <c r="G309" s="9">
        <v>1</v>
      </c>
      <c r="H309" s="9">
        <v>0</v>
      </c>
      <c r="I309" s="9">
        <v>-2.42</v>
      </c>
      <c r="J309" s="9">
        <v>1</v>
      </c>
      <c r="K309" s="9">
        <v>2.21</v>
      </c>
      <c r="L309" s="9">
        <v>2.86</v>
      </c>
      <c r="M309" s="9">
        <v>1183</v>
      </c>
      <c r="N309" s="9">
        <v>8.9</v>
      </c>
      <c r="O309" s="9">
        <v>4.33</v>
      </c>
      <c r="P309" s="41">
        <v>25</v>
      </c>
    </row>
    <row r="310" spans="1:16" x14ac:dyDescent="0.3">
      <c r="A310" s="9"/>
      <c r="B310" s="37">
        <v>4.9869544412449187</v>
      </c>
      <c r="C310" s="9" t="s">
        <v>42</v>
      </c>
      <c r="D310" s="37">
        <v>97040.816326530563</v>
      </c>
      <c r="E310" s="9">
        <v>0.92</v>
      </c>
      <c r="F310" s="9">
        <v>290.3</v>
      </c>
      <c r="G310" s="9">
        <v>1</v>
      </c>
      <c r="H310" s="9">
        <v>0</v>
      </c>
      <c r="I310" s="9">
        <v>-2.42</v>
      </c>
      <c r="J310" s="9">
        <v>1</v>
      </c>
      <c r="K310" s="9">
        <v>2.21</v>
      </c>
      <c r="L310" s="9">
        <v>2.86</v>
      </c>
      <c r="M310" s="9">
        <v>933</v>
      </c>
      <c r="N310" s="9">
        <v>10.4</v>
      </c>
      <c r="O310" s="9">
        <v>3.35</v>
      </c>
      <c r="P310" s="41">
        <v>25</v>
      </c>
    </row>
    <row r="311" spans="1:16" x14ac:dyDescent="0.3">
      <c r="A311" s="9"/>
      <c r="B311" s="37">
        <v>4.8810992183890169</v>
      </c>
      <c r="C311" s="9" t="s">
        <v>44</v>
      </c>
      <c r="D311" s="37">
        <v>76050</v>
      </c>
      <c r="E311" s="9">
        <v>0.74</v>
      </c>
      <c r="F311" s="9">
        <v>277.39999999999998</v>
      </c>
      <c r="G311" s="9">
        <v>1</v>
      </c>
      <c r="H311" s="9">
        <v>0</v>
      </c>
      <c r="I311" s="9">
        <v>-0.56999999999999995</v>
      </c>
      <c r="J311" s="9">
        <v>1</v>
      </c>
      <c r="K311" s="9">
        <v>2.62</v>
      </c>
      <c r="L311" s="9">
        <v>2.94</v>
      </c>
      <c r="M311" s="9">
        <v>1183</v>
      </c>
      <c r="N311" s="9">
        <v>8.9</v>
      </c>
      <c r="O311" s="9">
        <v>4.33</v>
      </c>
      <c r="P311" s="41">
        <v>25</v>
      </c>
    </row>
    <row r="312" spans="1:16" x14ac:dyDescent="0.3">
      <c r="A312" s="9"/>
      <c r="B312" s="37">
        <v>5.0606978403536118</v>
      </c>
      <c r="C312" s="9" t="s">
        <v>44</v>
      </c>
      <c r="D312" s="37">
        <v>115000</v>
      </c>
      <c r="E312" s="9">
        <v>0.74</v>
      </c>
      <c r="F312" s="9">
        <v>277.39999999999998</v>
      </c>
      <c r="G312" s="9">
        <v>1</v>
      </c>
      <c r="H312" s="9">
        <v>0</v>
      </c>
      <c r="I312" s="9">
        <v>-0.56999999999999995</v>
      </c>
      <c r="J312" s="9">
        <v>1</v>
      </c>
      <c r="K312" s="9">
        <v>2.62</v>
      </c>
      <c r="L312" s="9">
        <v>2.94</v>
      </c>
      <c r="M312" s="9">
        <v>933</v>
      </c>
      <c r="N312" s="9">
        <v>10.4</v>
      </c>
      <c r="O312" s="9">
        <v>3.35</v>
      </c>
      <c r="P312" s="41">
        <v>25</v>
      </c>
    </row>
    <row r="313" spans="1:16" x14ac:dyDescent="0.3">
      <c r="A313" s="9"/>
      <c r="B313" s="37">
        <v>4.6736816859685621</v>
      </c>
      <c r="C313" s="9" t="s">
        <v>45</v>
      </c>
      <c r="D313" s="37">
        <v>47171.717171717166</v>
      </c>
      <c r="E313" s="9">
        <v>0.59</v>
      </c>
      <c r="F313" s="9">
        <v>263.39999999999998</v>
      </c>
      <c r="G313" s="9">
        <v>1</v>
      </c>
      <c r="H313" s="9">
        <v>0</v>
      </c>
      <c r="I313" s="9">
        <v>-0.31</v>
      </c>
      <c r="J313" s="9">
        <v>1</v>
      </c>
      <c r="K313" s="9">
        <v>2.36</v>
      </c>
      <c r="L313" s="9">
        <v>3.24</v>
      </c>
      <c r="M313" s="9">
        <v>1183</v>
      </c>
      <c r="N313" s="9">
        <v>8.9</v>
      </c>
      <c r="O313" s="9">
        <v>4.33</v>
      </c>
      <c r="P313" s="41">
        <v>25</v>
      </c>
    </row>
    <row r="314" spans="1:16" x14ac:dyDescent="0.3">
      <c r="A314" s="9"/>
      <c r="B314" s="37">
        <v>4.9506532784158814</v>
      </c>
      <c r="C314" s="9" t="s">
        <v>45</v>
      </c>
      <c r="D314" s="37">
        <v>89259.259259259401</v>
      </c>
      <c r="E314" s="9">
        <v>0.59</v>
      </c>
      <c r="F314" s="9">
        <v>263.39999999999998</v>
      </c>
      <c r="G314" s="9">
        <v>1</v>
      </c>
      <c r="H314" s="9">
        <v>0</v>
      </c>
      <c r="I314" s="9">
        <v>-0.31</v>
      </c>
      <c r="J314" s="9">
        <v>1</v>
      </c>
      <c r="K314" s="9">
        <v>2.36</v>
      </c>
      <c r="L314" s="9">
        <v>3.24</v>
      </c>
      <c r="M314" s="9">
        <v>933</v>
      </c>
      <c r="N314" s="9">
        <v>10.4</v>
      </c>
      <c r="O314" s="9">
        <v>3.35</v>
      </c>
      <c r="P314" s="41">
        <v>25</v>
      </c>
    </row>
    <row r="315" spans="1:16" x14ac:dyDescent="0.3">
      <c r="A315" s="9"/>
      <c r="B315" s="37">
        <v>4.274377800892541</v>
      </c>
      <c r="C315" s="9" t="s">
        <v>41</v>
      </c>
      <c r="D315" s="37">
        <v>18809.523809523813</v>
      </c>
      <c r="E315" s="9">
        <v>-0.8</v>
      </c>
      <c r="F315" s="9">
        <v>361.4</v>
      </c>
      <c r="G315" s="9">
        <v>0</v>
      </c>
      <c r="H315" s="9">
        <v>0</v>
      </c>
      <c r="I315" s="9">
        <v>-2.21</v>
      </c>
      <c r="J315" s="9">
        <v>1</v>
      </c>
      <c r="K315" s="9">
        <v>2.44</v>
      </c>
      <c r="L315" s="9">
        <v>1.0900000000000001</v>
      </c>
      <c r="M315" s="9">
        <v>1183</v>
      </c>
      <c r="N315" s="9">
        <v>8.9</v>
      </c>
      <c r="O315" s="9">
        <v>4.33</v>
      </c>
      <c r="P315" s="41">
        <v>25</v>
      </c>
    </row>
    <row r="316" spans="1:16" x14ac:dyDescent="0.3">
      <c r="A316" s="9"/>
      <c r="B316" s="37">
        <v>4.653212513775344</v>
      </c>
      <c r="C316" s="9" t="s">
        <v>41</v>
      </c>
      <c r="D316" s="37">
        <v>45000</v>
      </c>
      <c r="E316" s="9">
        <v>-0.8</v>
      </c>
      <c r="F316" s="9">
        <v>361.4</v>
      </c>
      <c r="G316" s="9">
        <v>0</v>
      </c>
      <c r="H316" s="9">
        <v>0</v>
      </c>
      <c r="I316" s="9">
        <v>-2.21</v>
      </c>
      <c r="J316" s="9">
        <v>1</v>
      </c>
      <c r="K316" s="9">
        <v>2.44</v>
      </c>
      <c r="L316" s="9">
        <v>1.0900000000000001</v>
      </c>
      <c r="M316" s="9">
        <v>933</v>
      </c>
      <c r="N316" s="9">
        <v>10.4</v>
      </c>
      <c r="O316" s="9">
        <v>3.35</v>
      </c>
      <c r="P316" s="41">
        <v>25</v>
      </c>
    </row>
    <row r="317" spans="1:16" x14ac:dyDescent="0.3">
      <c r="A317" s="9"/>
      <c r="B317" s="37">
        <v>5.3957071272397448</v>
      </c>
      <c r="C317" s="9" t="s">
        <v>50</v>
      </c>
      <c r="D317" s="37">
        <v>248717.94871794811</v>
      </c>
      <c r="E317" s="9">
        <v>-0.47</v>
      </c>
      <c r="F317" s="9">
        <v>267.3</v>
      </c>
      <c r="G317" s="9">
        <v>1</v>
      </c>
      <c r="H317" s="9">
        <v>0</v>
      </c>
      <c r="I317" s="9">
        <v>0.3</v>
      </c>
      <c r="J317" s="9">
        <v>1</v>
      </c>
      <c r="K317" s="9">
        <v>2.59</v>
      </c>
      <c r="L317" s="9">
        <v>2.06</v>
      </c>
      <c r="M317" s="9">
        <v>1183</v>
      </c>
      <c r="N317" s="9">
        <v>8.9</v>
      </c>
      <c r="O317" s="9">
        <v>4.33</v>
      </c>
      <c r="P317" s="41">
        <v>25</v>
      </c>
    </row>
    <row r="318" spans="1:16" x14ac:dyDescent="0.3">
      <c r="A318" s="9"/>
      <c r="B318" s="37">
        <v>5.2662678894047685</v>
      </c>
      <c r="C318" s="9" t="s">
        <v>50</v>
      </c>
      <c r="D318" s="37">
        <v>184615.38461538442</v>
      </c>
      <c r="E318" s="9">
        <v>-0.47</v>
      </c>
      <c r="F318" s="9">
        <v>267.3</v>
      </c>
      <c r="G318" s="9">
        <v>1</v>
      </c>
      <c r="H318" s="9">
        <v>0</v>
      </c>
      <c r="I318" s="9">
        <v>0.3</v>
      </c>
      <c r="J318" s="9">
        <v>1</v>
      </c>
      <c r="K318" s="9">
        <v>2.59</v>
      </c>
      <c r="L318" s="9">
        <v>2.06</v>
      </c>
      <c r="M318" s="9">
        <v>933</v>
      </c>
      <c r="N318" s="9">
        <v>10.4</v>
      </c>
      <c r="O318" s="9">
        <v>3.35</v>
      </c>
      <c r="P318" s="41">
        <v>25</v>
      </c>
    </row>
    <row r="319" spans="1:16" x14ac:dyDescent="0.3">
      <c r="A319" s="9"/>
      <c r="B319" s="37">
        <v>5.1980855527618477</v>
      </c>
      <c r="C319" s="9" t="s">
        <v>51</v>
      </c>
      <c r="D319" s="37">
        <v>157792.20779220713</v>
      </c>
      <c r="E319" s="9">
        <v>-1.24</v>
      </c>
      <c r="F319" s="9">
        <v>267.3</v>
      </c>
      <c r="G319" s="9">
        <v>0</v>
      </c>
      <c r="H319" s="9">
        <v>1</v>
      </c>
      <c r="I319" s="9">
        <v>-1.47</v>
      </c>
      <c r="J319" s="9">
        <v>1</v>
      </c>
      <c r="K319" s="9">
        <v>3.3</v>
      </c>
      <c r="L319" s="9">
        <v>1.23</v>
      </c>
      <c r="M319" s="9">
        <v>1183</v>
      </c>
      <c r="N319" s="9">
        <v>8.9</v>
      </c>
      <c r="O319" s="9">
        <v>4.33</v>
      </c>
      <c r="P319" s="41">
        <v>25</v>
      </c>
    </row>
    <row r="320" spans="1:16" x14ac:dyDescent="0.3">
      <c r="A320" s="9"/>
      <c r="B320" s="37">
        <v>5.2394782379200722</v>
      </c>
      <c r="C320" s="9" t="s">
        <v>51</v>
      </c>
      <c r="D320" s="37">
        <v>173571.42857142785</v>
      </c>
      <c r="E320" s="9">
        <v>-1.24</v>
      </c>
      <c r="F320" s="9">
        <v>267.3</v>
      </c>
      <c r="G320" s="9">
        <v>0</v>
      </c>
      <c r="H320" s="9">
        <v>1</v>
      </c>
      <c r="I320" s="9">
        <v>-1.47</v>
      </c>
      <c r="J320" s="9">
        <v>1</v>
      </c>
      <c r="K320" s="9">
        <v>3.3</v>
      </c>
      <c r="L320" s="9">
        <v>1.23</v>
      </c>
      <c r="M320" s="9">
        <v>933</v>
      </c>
      <c r="N320" s="9">
        <v>10.4</v>
      </c>
      <c r="O320" s="9">
        <v>3.35</v>
      </c>
      <c r="P320" s="41">
        <v>25</v>
      </c>
    </row>
    <row r="321" spans="1:16" x14ac:dyDescent="0.3">
      <c r="A321" s="9"/>
      <c r="B321" s="37">
        <v>4.6580596007175314</v>
      </c>
      <c r="C321" s="9" t="s">
        <v>49</v>
      </c>
      <c r="D321" s="37">
        <v>45505.050505050494</v>
      </c>
      <c r="E321" s="9">
        <v>0.72</v>
      </c>
      <c r="F321" s="9">
        <v>254.3</v>
      </c>
      <c r="G321" s="9">
        <v>0</v>
      </c>
      <c r="H321" s="9">
        <v>1</v>
      </c>
      <c r="I321" s="9">
        <v>-0.85</v>
      </c>
      <c r="J321" s="9">
        <v>2</v>
      </c>
      <c r="K321" s="9">
        <v>2.12</v>
      </c>
      <c r="L321" s="9">
        <v>2.59</v>
      </c>
      <c r="M321" s="9">
        <v>1183</v>
      </c>
      <c r="N321" s="9">
        <v>8.9</v>
      </c>
      <c r="O321" s="9">
        <v>4.33</v>
      </c>
      <c r="P321" s="41">
        <v>25</v>
      </c>
    </row>
    <row r="322" spans="1:16" x14ac:dyDescent="0.3">
      <c r="A322" s="9"/>
      <c r="B322" s="37">
        <v>4.7656025432424265</v>
      </c>
      <c r="C322" s="9" t="s">
        <v>49</v>
      </c>
      <c r="D322" s="37">
        <v>58291.139240506396</v>
      </c>
      <c r="E322" s="9">
        <v>0.72</v>
      </c>
      <c r="F322" s="9">
        <v>254.3</v>
      </c>
      <c r="G322" s="9">
        <v>0</v>
      </c>
      <c r="H322" s="9">
        <v>1</v>
      </c>
      <c r="I322" s="9">
        <v>-0.85</v>
      </c>
      <c r="J322" s="9">
        <v>2</v>
      </c>
      <c r="K322" s="9">
        <v>2.12</v>
      </c>
      <c r="L322" s="9">
        <v>2.59</v>
      </c>
      <c r="M322" s="9">
        <v>933</v>
      </c>
      <c r="N322" s="9">
        <v>10.4</v>
      </c>
      <c r="O322" s="9">
        <v>3.35</v>
      </c>
      <c r="P322" s="41">
        <v>25</v>
      </c>
    </row>
    <row r="323" spans="1:16" x14ac:dyDescent="0.3">
      <c r="A323" s="9"/>
      <c r="B323" s="37">
        <v>4.211507916278137</v>
      </c>
      <c r="C323" s="9" t="s">
        <v>53</v>
      </c>
      <c r="D323" s="37">
        <v>16274.509803921557</v>
      </c>
      <c r="E323" s="9">
        <v>-0.44</v>
      </c>
      <c r="F323" s="9">
        <v>791.1</v>
      </c>
      <c r="G323" s="9">
        <v>0</v>
      </c>
      <c r="H323" s="9">
        <v>0</v>
      </c>
      <c r="I323" s="9">
        <v>-2.2400000000000002</v>
      </c>
      <c r="J323" s="9">
        <v>1</v>
      </c>
      <c r="K323" s="9">
        <v>3.64</v>
      </c>
      <c r="L323" s="40">
        <v>1</v>
      </c>
      <c r="M323" s="9">
        <v>1183</v>
      </c>
      <c r="N323" s="9">
        <v>8.9</v>
      </c>
      <c r="O323" s="9">
        <v>4.33</v>
      </c>
      <c r="P323" s="41">
        <v>25</v>
      </c>
    </row>
    <row r="324" spans="1:16" x14ac:dyDescent="0.3">
      <c r="A324" s="9"/>
      <c r="B324" s="37">
        <v>4.4771212547196626</v>
      </c>
      <c r="C324" s="9" t="s">
        <v>53</v>
      </c>
      <c r="D324" s="37">
        <v>30000</v>
      </c>
      <c r="E324" s="9">
        <v>-0.44</v>
      </c>
      <c r="F324" s="9">
        <v>791.1</v>
      </c>
      <c r="G324" s="9">
        <v>0</v>
      </c>
      <c r="H324" s="9">
        <v>0</v>
      </c>
      <c r="I324" s="9">
        <v>-2.2400000000000002</v>
      </c>
      <c r="J324" s="9">
        <v>1</v>
      </c>
      <c r="K324" s="9">
        <v>3.64</v>
      </c>
      <c r="L324" s="40">
        <v>1</v>
      </c>
      <c r="M324" s="9">
        <v>933</v>
      </c>
      <c r="N324" s="9">
        <v>10.4</v>
      </c>
      <c r="O324" s="9">
        <v>3.35</v>
      </c>
      <c r="P324" s="41">
        <v>25</v>
      </c>
    </row>
    <row r="325" spans="1:16" x14ac:dyDescent="0.3">
      <c r="A325" s="9"/>
      <c r="B325" s="37">
        <v>5.2086204838826005</v>
      </c>
      <c r="C325" s="9" t="s">
        <v>52</v>
      </c>
      <c r="D325" s="37">
        <v>161666.66666666628</v>
      </c>
      <c r="E325" s="9">
        <v>-1.45</v>
      </c>
      <c r="F325" s="9">
        <v>330.7</v>
      </c>
      <c r="G325" s="9">
        <v>0</v>
      </c>
      <c r="H325" s="9">
        <v>1</v>
      </c>
      <c r="I325" s="9">
        <v>-3.18</v>
      </c>
      <c r="J325" s="9">
        <v>1</v>
      </c>
      <c r="K325" s="9">
        <v>2.06</v>
      </c>
      <c r="L325" s="9">
        <v>2.04</v>
      </c>
      <c r="M325" s="9">
        <v>1183</v>
      </c>
      <c r="N325" s="9">
        <v>8.9</v>
      </c>
      <c r="O325" s="9">
        <v>4.33</v>
      </c>
      <c r="P325" s="41">
        <v>25</v>
      </c>
    </row>
    <row r="326" spans="1:16" x14ac:dyDescent="0.3">
      <c r="A326" s="9"/>
      <c r="B326" s="37">
        <v>5.0476999772893851</v>
      </c>
      <c r="C326" s="9" t="s">
        <v>52</v>
      </c>
      <c r="D326" s="37">
        <v>111609.19540229849</v>
      </c>
      <c r="E326" s="9">
        <v>-1.45</v>
      </c>
      <c r="F326" s="9">
        <v>330.7</v>
      </c>
      <c r="G326" s="9">
        <v>0</v>
      </c>
      <c r="H326" s="9">
        <v>1</v>
      </c>
      <c r="I326" s="9">
        <v>-3.18</v>
      </c>
      <c r="J326" s="9">
        <v>1</v>
      </c>
      <c r="K326" s="9">
        <v>2.06</v>
      </c>
      <c r="L326" s="9">
        <v>2.04</v>
      </c>
      <c r="M326" s="9">
        <v>933</v>
      </c>
      <c r="N326" s="9">
        <v>10.4</v>
      </c>
      <c r="O326" s="9">
        <v>3.35</v>
      </c>
      <c r="P326" s="41">
        <v>25</v>
      </c>
    </row>
    <row r="327" spans="1:16" x14ac:dyDescent="0.3">
      <c r="A327" s="9"/>
      <c r="B327" s="37">
        <v>5.2121876044039581</v>
      </c>
      <c r="C327" s="9" t="s">
        <v>47</v>
      </c>
      <c r="D327" s="37">
        <v>163000</v>
      </c>
      <c r="E327" s="9">
        <v>1.85</v>
      </c>
      <c r="F327" s="9">
        <v>250.3</v>
      </c>
      <c r="G327" s="9">
        <v>0</v>
      </c>
      <c r="H327" s="9">
        <v>1</v>
      </c>
      <c r="I327" s="9">
        <v>-0.73</v>
      </c>
      <c r="J327" s="9">
        <v>1</v>
      </c>
      <c r="K327" s="9">
        <v>2.4</v>
      </c>
      <c r="L327" s="9">
        <v>2.64</v>
      </c>
      <c r="M327" s="9">
        <v>1183</v>
      </c>
      <c r="N327" s="9">
        <v>8.9</v>
      </c>
      <c r="O327" s="9">
        <v>4.33</v>
      </c>
      <c r="P327" s="41">
        <v>25</v>
      </c>
    </row>
    <row r="328" spans="1:16" x14ac:dyDescent="0.3">
      <c r="A328" s="9"/>
      <c r="B328" s="37">
        <v>5.3891660843645344</v>
      </c>
      <c r="C328" s="9" t="s">
        <v>47</v>
      </c>
      <c r="D328" s="37">
        <v>245000.00000000087</v>
      </c>
      <c r="E328" s="9">
        <v>1.85</v>
      </c>
      <c r="F328" s="9">
        <v>250.3</v>
      </c>
      <c r="G328" s="9">
        <v>0</v>
      </c>
      <c r="H328" s="9">
        <v>1</v>
      </c>
      <c r="I328" s="9">
        <v>-0.73</v>
      </c>
      <c r="J328" s="9">
        <v>1</v>
      </c>
      <c r="K328" s="9">
        <v>2.4</v>
      </c>
      <c r="L328" s="9">
        <v>2.64</v>
      </c>
      <c r="M328" s="9">
        <v>933</v>
      </c>
      <c r="N328" s="9">
        <v>10.4</v>
      </c>
      <c r="O328" s="9">
        <v>3.35</v>
      </c>
      <c r="P328" s="41">
        <v>25</v>
      </c>
    </row>
    <row r="329" spans="1:16" x14ac:dyDescent="0.3">
      <c r="A329" s="9"/>
      <c r="B329" s="37">
        <v>5.0135237074707124</v>
      </c>
      <c r="C329" s="9" t="s">
        <v>40</v>
      </c>
      <c r="D329" s="37">
        <v>103162.93929712441</v>
      </c>
      <c r="E329" s="9">
        <v>0.6</v>
      </c>
      <c r="F329" s="9">
        <v>733.9</v>
      </c>
      <c r="G329" s="9">
        <v>1</v>
      </c>
      <c r="H329" s="9">
        <v>0</v>
      </c>
      <c r="I329" s="9">
        <v>-0.27</v>
      </c>
      <c r="J329" s="9">
        <v>0</v>
      </c>
      <c r="K329" s="9">
        <v>6.07</v>
      </c>
      <c r="L329" s="9">
        <v>2.75</v>
      </c>
      <c r="M329" s="9">
        <v>1183</v>
      </c>
      <c r="N329" s="9">
        <v>8.9</v>
      </c>
      <c r="O329" s="9">
        <v>4.33</v>
      </c>
      <c r="P329" s="41">
        <v>25</v>
      </c>
    </row>
    <row r="330" spans="1:16" x14ac:dyDescent="0.3">
      <c r="A330" s="9"/>
      <c r="B330" s="37">
        <v>5.0681992619677629</v>
      </c>
      <c r="C330" s="9" t="s">
        <v>40</v>
      </c>
      <c r="D330" s="37">
        <v>117003.61010830358</v>
      </c>
      <c r="E330" s="9">
        <v>0.6</v>
      </c>
      <c r="F330" s="9">
        <v>733.9</v>
      </c>
      <c r="G330" s="9">
        <v>1</v>
      </c>
      <c r="H330" s="9">
        <v>0</v>
      </c>
      <c r="I330" s="9">
        <v>-0.27</v>
      </c>
      <c r="J330" s="9">
        <v>0</v>
      </c>
      <c r="K330" s="9">
        <v>6.07</v>
      </c>
      <c r="L330" s="9">
        <v>2.75</v>
      </c>
      <c r="M330" s="9">
        <v>933</v>
      </c>
      <c r="N330" s="9">
        <v>10.4</v>
      </c>
      <c r="O330" s="9">
        <v>3.35</v>
      </c>
      <c r="P330" s="41">
        <v>25</v>
      </c>
    </row>
    <row r="331" spans="1:16" x14ac:dyDescent="0.3">
      <c r="A331" s="9"/>
      <c r="B331" s="37">
        <v>4.3119699817279944</v>
      </c>
      <c r="C331" s="9" t="s">
        <v>94</v>
      </c>
      <c r="D331" s="37">
        <v>20510.204081632666</v>
      </c>
      <c r="E331" s="9">
        <v>-0.86</v>
      </c>
      <c r="F331" s="9">
        <v>331.34699999999998</v>
      </c>
      <c r="G331" s="9">
        <v>1</v>
      </c>
      <c r="H331" s="9">
        <v>1</v>
      </c>
      <c r="I331" s="9">
        <v>-2.27</v>
      </c>
      <c r="J331" s="9">
        <v>1</v>
      </c>
      <c r="K331" s="38">
        <v>2.3047</v>
      </c>
      <c r="L331" s="9">
        <v>1.55</v>
      </c>
      <c r="M331" s="9">
        <v>1183</v>
      </c>
      <c r="N331" s="9">
        <v>8.9</v>
      </c>
      <c r="O331" s="9">
        <v>4.33</v>
      </c>
      <c r="P331" s="41">
        <v>25</v>
      </c>
    </row>
    <row r="332" spans="1:16" x14ac:dyDescent="0.3">
      <c r="A332" s="9"/>
      <c r="B332" s="37">
        <v>4.7053621040231182</v>
      </c>
      <c r="C332" s="9" t="s">
        <v>94</v>
      </c>
      <c r="D332" s="37">
        <v>50741.360089186164</v>
      </c>
      <c r="E332" s="9">
        <v>-0.86</v>
      </c>
      <c r="F332" s="9">
        <v>331.34699999999998</v>
      </c>
      <c r="G332" s="9">
        <v>1</v>
      </c>
      <c r="H332" s="9">
        <v>1</v>
      </c>
      <c r="I332" s="9">
        <v>-2.27</v>
      </c>
      <c r="J332" s="9">
        <v>1</v>
      </c>
      <c r="K332" s="38">
        <v>2.3047</v>
      </c>
      <c r="L332" s="9">
        <v>1.55</v>
      </c>
      <c r="M332" s="9">
        <v>933</v>
      </c>
      <c r="N332" s="9">
        <v>10.4</v>
      </c>
      <c r="O332" s="9">
        <v>3.35</v>
      </c>
      <c r="P332" s="41">
        <v>25</v>
      </c>
    </row>
    <row r="333" spans="1:16" x14ac:dyDescent="0.3">
      <c r="A333" s="9"/>
      <c r="B333" s="37">
        <v>4.9804743448673836</v>
      </c>
      <c r="C333" s="9" t="s">
        <v>48</v>
      </c>
      <c r="D333" s="37">
        <v>95603.621730382321</v>
      </c>
      <c r="E333" s="9">
        <v>1.38</v>
      </c>
      <c r="F333" s="9">
        <v>296.2</v>
      </c>
      <c r="G333" s="9">
        <v>0</v>
      </c>
      <c r="H333" s="9">
        <v>1</v>
      </c>
      <c r="I333" s="9">
        <v>-1.3</v>
      </c>
      <c r="J333" s="9">
        <v>2</v>
      </c>
      <c r="K333" s="9">
        <v>2.0699999999999998</v>
      </c>
      <c r="L333" s="9">
        <v>2.66</v>
      </c>
      <c r="M333" s="9">
        <v>1183</v>
      </c>
      <c r="N333" s="9">
        <v>8.9</v>
      </c>
      <c r="O333" s="9">
        <v>4.33</v>
      </c>
      <c r="P333" s="41">
        <v>25</v>
      </c>
    </row>
    <row r="334" spans="1:16" x14ac:dyDescent="0.3">
      <c r="A334" s="9"/>
      <c r="B334" s="37">
        <v>5.4111833681065376</v>
      </c>
      <c r="C334" s="9" t="s">
        <v>48</v>
      </c>
      <c r="D334" s="37">
        <v>257740.91627172157</v>
      </c>
      <c r="E334" s="9">
        <v>1.38</v>
      </c>
      <c r="F334" s="9">
        <v>296.2</v>
      </c>
      <c r="G334" s="9">
        <v>0</v>
      </c>
      <c r="H334" s="9">
        <v>1</v>
      </c>
      <c r="I334" s="9">
        <v>-1.3</v>
      </c>
      <c r="J334" s="9">
        <v>2</v>
      </c>
      <c r="K334" s="9">
        <v>2.0699999999999998</v>
      </c>
      <c r="L334" s="9">
        <v>2.66</v>
      </c>
      <c r="M334" s="9">
        <v>933</v>
      </c>
      <c r="N334" s="9">
        <v>10.4</v>
      </c>
      <c r="O334" s="9">
        <v>3.35</v>
      </c>
      <c r="P334" s="41">
        <v>25</v>
      </c>
    </row>
    <row r="335" spans="1:16" x14ac:dyDescent="0.3">
      <c r="A335" s="9"/>
      <c r="B335" s="37">
        <v>5.0069356311677442</v>
      </c>
      <c r="C335" s="9" t="s">
        <v>46</v>
      </c>
      <c r="D335" s="37">
        <v>101609.80810234514</v>
      </c>
      <c r="E335" s="9">
        <v>0.97</v>
      </c>
      <c r="F335" s="9">
        <v>361.8</v>
      </c>
      <c r="G335" s="9">
        <v>0</v>
      </c>
      <c r="H335" s="9">
        <v>1</v>
      </c>
      <c r="I335" s="9">
        <v>-1.69</v>
      </c>
      <c r="J335" s="9">
        <v>2</v>
      </c>
      <c r="K335" s="9">
        <v>2.87</v>
      </c>
      <c r="L335" s="9">
        <v>2.62</v>
      </c>
      <c r="M335" s="9">
        <v>1183</v>
      </c>
      <c r="N335" s="9">
        <v>8.9</v>
      </c>
      <c r="O335" s="9">
        <v>4.33</v>
      </c>
      <c r="P335" s="41">
        <v>25</v>
      </c>
    </row>
    <row r="336" spans="1:16" x14ac:dyDescent="0.3">
      <c r="A336" s="9"/>
      <c r="B336" s="37">
        <v>5.6138418218760693</v>
      </c>
      <c r="C336" s="9" t="s">
        <v>46</v>
      </c>
      <c r="D336" s="37">
        <v>411000</v>
      </c>
      <c r="E336" s="9">
        <v>0.97</v>
      </c>
      <c r="F336" s="9">
        <v>361.8</v>
      </c>
      <c r="G336" s="9">
        <v>0</v>
      </c>
      <c r="H336" s="9">
        <v>1</v>
      </c>
      <c r="I336" s="9">
        <v>-1.69</v>
      </c>
      <c r="J336" s="9">
        <v>2</v>
      </c>
      <c r="K336" s="9">
        <v>2.87</v>
      </c>
      <c r="L336" s="9">
        <v>2.62</v>
      </c>
      <c r="M336" s="9">
        <v>933</v>
      </c>
      <c r="N336" s="9">
        <v>10.4</v>
      </c>
      <c r="O336" s="9">
        <v>3.35</v>
      </c>
      <c r="P336" s="41">
        <v>25</v>
      </c>
    </row>
    <row r="337" spans="1:16" x14ac:dyDescent="0.3">
      <c r="A337" s="9"/>
      <c r="B337" s="37">
        <v>5.6551384348113825</v>
      </c>
      <c r="C337" s="9" t="s">
        <v>43</v>
      </c>
      <c r="D337" s="37">
        <v>452000</v>
      </c>
      <c r="E337" s="9">
        <v>2.77</v>
      </c>
      <c r="F337" s="9">
        <v>236.3</v>
      </c>
      <c r="G337" s="9">
        <v>0</v>
      </c>
      <c r="H337" s="9">
        <v>0</v>
      </c>
      <c r="I337" s="9">
        <v>-3.79</v>
      </c>
      <c r="J337" s="9">
        <v>2</v>
      </c>
      <c r="K337" s="9">
        <v>1.87</v>
      </c>
      <c r="L337" s="9">
        <v>3.12</v>
      </c>
      <c r="M337" s="9">
        <v>1183</v>
      </c>
      <c r="N337" s="9">
        <v>8.9</v>
      </c>
      <c r="O337" s="9">
        <v>4.33</v>
      </c>
      <c r="P337" s="41">
        <v>25</v>
      </c>
    </row>
    <row r="338" spans="1:16" x14ac:dyDescent="0.3">
      <c r="A338" s="9"/>
      <c r="B338" s="37">
        <v>5.6627578316815743</v>
      </c>
      <c r="C338" s="9" t="s">
        <v>43</v>
      </c>
      <c r="D338" s="37">
        <v>460000</v>
      </c>
      <c r="E338" s="9">
        <v>2.77</v>
      </c>
      <c r="F338" s="9">
        <v>236.3</v>
      </c>
      <c r="G338" s="9">
        <v>0</v>
      </c>
      <c r="H338" s="9">
        <v>0</v>
      </c>
      <c r="I338" s="9">
        <v>-3.79</v>
      </c>
      <c r="J338" s="9">
        <v>2</v>
      </c>
      <c r="K338" s="9">
        <v>1.87</v>
      </c>
      <c r="L338" s="9">
        <v>3.12</v>
      </c>
      <c r="M338" s="9">
        <v>933</v>
      </c>
      <c r="N338" s="9">
        <v>10.4</v>
      </c>
      <c r="O338" s="9">
        <v>3.35</v>
      </c>
      <c r="P338" s="41">
        <v>25</v>
      </c>
    </row>
    <row r="339" spans="1:16" x14ac:dyDescent="0.3">
      <c r="A339" s="9"/>
      <c r="B339" s="37">
        <v>5.5250448070368456</v>
      </c>
      <c r="C339" s="9" t="s">
        <v>39</v>
      </c>
      <c r="D339" s="37">
        <v>335000</v>
      </c>
      <c r="E339" s="9">
        <v>-3.06</v>
      </c>
      <c r="F339" s="9">
        <v>749</v>
      </c>
      <c r="G339" s="9">
        <v>1</v>
      </c>
      <c r="H339" s="9">
        <v>0</v>
      </c>
      <c r="I339" s="9">
        <v>0.38</v>
      </c>
      <c r="J339" s="9">
        <v>0</v>
      </c>
      <c r="K339" s="9">
        <v>6.33</v>
      </c>
      <c r="L339" s="9">
        <v>3.5</v>
      </c>
      <c r="M339" s="9">
        <v>1183</v>
      </c>
      <c r="N339" s="9">
        <v>8.9</v>
      </c>
      <c r="O339" s="9">
        <v>4.33</v>
      </c>
      <c r="P339" s="41">
        <v>25</v>
      </c>
    </row>
    <row r="340" spans="1:16" x14ac:dyDescent="0.3">
      <c r="A340" s="9"/>
      <c r="B340" s="37">
        <v>5.4948500216800937</v>
      </c>
      <c r="C340" s="9" t="s">
        <v>39</v>
      </c>
      <c r="D340" s="37">
        <v>312500</v>
      </c>
      <c r="E340" s="9">
        <v>-3.06</v>
      </c>
      <c r="F340" s="9">
        <v>749</v>
      </c>
      <c r="G340" s="9">
        <v>1</v>
      </c>
      <c r="H340" s="9">
        <v>0</v>
      </c>
      <c r="I340" s="9">
        <v>0.38</v>
      </c>
      <c r="J340" s="9">
        <v>0</v>
      </c>
      <c r="K340" s="9">
        <v>6.33</v>
      </c>
      <c r="L340" s="9">
        <v>3.5</v>
      </c>
      <c r="M340" s="9">
        <v>933</v>
      </c>
      <c r="N340" s="9">
        <v>10.4</v>
      </c>
      <c r="O340" s="9">
        <v>3.35</v>
      </c>
      <c r="P340" s="41">
        <v>25</v>
      </c>
    </row>
    <row r="341" spans="1:16" x14ac:dyDescent="0.3">
      <c r="A341" s="9"/>
      <c r="B341" s="37">
        <v>6.8223549128756975</v>
      </c>
      <c r="C341" s="9" t="s">
        <v>95</v>
      </c>
      <c r="D341" s="37">
        <v>6642857.1428571502</v>
      </c>
      <c r="E341" s="9">
        <v>2.2400000000000002</v>
      </c>
      <c r="F341" s="9">
        <v>239.3</v>
      </c>
      <c r="G341" s="9">
        <v>1</v>
      </c>
      <c r="H341" s="9">
        <v>0</v>
      </c>
      <c r="I341" s="9">
        <v>-3.92</v>
      </c>
      <c r="J341" s="9">
        <v>2</v>
      </c>
      <c r="K341" s="9">
        <v>2.21</v>
      </c>
      <c r="L341" s="9">
        <v>4.17</v>
      </c>
      <c r="M341" s="9">
        <v>1140</v>
      </c>
      <c r="N341" s="9">
        <v>9.5</v>
      </c>
      <c r="O341" s="9">
        <v>4.7</v>
      </c>
      <c r="P341" s="41">
        <v>2</v>
      </c>
    </row>
    <row r="342" spans="1:16" x14ac:dyDescent="0.3">
      <c r="A342" s="9"/>
      <c r="B342" s="37">
        <v>6.3617278360175931</v>
      </c>
      <c r="C342" s="9" t="s">
        <v>96</v>
      </c>
      <c r="D342" s="37">
        <v>2300000.0000000033</v>
      </c>
      <c r="E342" s="9">
        <v>1.29</v>
      </c>
      <c r="F342" s="9">
        <v>119.127</v>
      </c>
      <c r="G342" s="9">
        <v>0</v>
      </c>
      <c r="H342" s="9">
        <v>0</v>
      </c>
      <c r="I342" s="9">
        <v>-1.21</v>
      </c>
      <c r="J342" s="9">
        <v>1</v>
      </c>
      <c r="K342" s="39">
        <v>0.86419999999999997</v>
      </c>
      <c r="L342" s="9">
        <v>2.17</v>
      </c>
      <c r="M342" s="9">
        <v>1140</v>
      </c>
      <c r="N342" s="9">
        <v>9.5</v>
      </c>
      <c r="O342" s="9">
        <v>4.7</v>
      </c>
      <c r="P342" s="41">
        <v>2</v>
      </c>
    </row>
    <row r="343" spans="1:16" x14ac:dyDescent="0.3">
      <c r="A343" s="9"/>
      <c r="B343" s="37">
        <v>6.0606978403536127</v>
      </c>
      <c r="C343" s="9" t="s">
        <v>57</v>
      </c>
      <c r="D343" s="37">
        <v>1150000.0000000016</v>
      </c>
      <c r="E343" s="9">
        <v>-0.64</v>
      </c>
      <c r="F343" s="9">
        <v>152.11000000000001</v>
      </c>
      <c r="G343" s="9">
        <v>0</v>
      </c>
      <c r="H343" s="9">
        <v>1</v>
      </c>
      <c r="I343" s="9">
        <v>-1.45</v>
      </c>
      <c r="J343" s="9">
        <v>0</v>
      </c>
      <c r="K343" s="9">
        <v>0.78400000000000003</v>
      </c>
      <c r="L343" s="40">
        <v>1</v>
      </c>
      <c r="M343" s="9">
        <v>1140</v>
      </c>
      <c r="N343" s="9">
        <v>9.5</v>
      </c>
      <c r="O343" s="9">
        <v>4.7</v>
      </c>
      <c r="P343" s="41">
        <v>2</v>
      </c>
    </row>
    <row r="344" spans="1:16" x14ac:dyDescent="0.3">
      <c r="A344" s="9"/>
      <c r="B344" s="37">
        <v>5.9522272182039995</v>
      </c>
      <c r="C344" s="9" t="s">
        <v>58</v>
      </c>
      <c r="D344" s="37">
        <v>895833.33333333326</v>
      </c>
      <c r="E344" s="9">
        <v>-1.85</v>
      </c>
      <c r="F344" s="9">
        <v>170.25</v>
      </c>
      <c r="G344" s="9">
        <v>1</v>
      </c>
      <c r="H344" s="9">
        <v>0</v>
      </c>
      <c r="I344" s="9">
        <v>1.56</v>
      </c>
      <c r="J344" s="9">
        <v>0</v>
      </c>
      <c r="K344" s="9">
        <v>1.85</v>
      </c>
      <c r="L344" s="9">
        <v>1.61</v>
      </c>
      <c r="M344" s="9">
        <v>1140</v>
      </c>
      <c r="N344" s="9">
        <v>9.5</v>
      </c>
      <c r="O344" s="9">
        <v>4.7</v>
      </c>
      <c r="P344" s="41">
        <v>2</v>
      </c>
    </row>
    <row r="345" spans="1:16" x14ac:dyDescent="0.3">
      <c r="A345" s="9"/>
      <c r="B345" s="37">
        <v>5.8844214205695211</v>
      </c>
      <c r="C345" s="9" t="s">
        <v>59</v>
      </c>
      <c r="D345" s="37">
        <v>766339.86928104423</v>
      </c>
      <c r="E345" s="9">
        <v>1.1200000000000001</v>
      </c>
      <c r="F345" s="9">
        <v>218.26</v>
      </c>
      <c r="G345" s="9">
        <v>0</v>
      </c>
      <c r="H345" s="9">
        <v>0</v>
      </c>
      <c r="I345" s="9">
        <v>-1.93</v>
      </c>
      <c r="J345" s="9">
        <v>1</v>
      </c>
      <c r="K345" s="9">
        <v>1.77</v>
      </c>
      <c r="L345" s="9">
        <v>2.14</v>
      </c>
      <c r="M345" s="9">
        <v>1140</v>
      </c>
      <c r="N345" s="9">
        <v>9.5</v>
      </c>
      <c r="O345" s="9">
        <v>4.7</v>
      </c>
      <c r="P345" s="41">
        <v>2</v>
      </c>
    </row>
    <row r="346" spans="1:16" x14ac:dyDescent="0.3">
      <c r="A346" s="9"/>
      <c r="B346" s="37">
        <v>6.0110999999999999</v>
      </c>
      <c r="C346" s="9" t="s">
        <v>63</v>
      </c>
      <c r="D346" s="37">
        <v>999999.9999999993</v>
      </c>
      <c r="E346" s="9">
        <v>0.42</v>
      </c>
      <c r="F346" s="9">
        <v>362.44</v>
      </c>
      <c r="G346" s="9">
        <v>0</v>
      </c>
      <c r="H346" s="9">
        <v>1</v>
      </c>
      <c r="I346" s="9">
        <v>-2.92</v>
      </c>
      <c r="J346" s="9">
        <v>0</v>
      </c>
      <c r="K346" s="9">
        <v>2.8</v>
      </c>
      <c r="L346" s="9">
        <v>1.93</v>
      </c>
      <c r="M346" s="9">
        <v>1140</v>
      </c>
      <c r="N346" s="9">
        <v>9.5</v>
      </c>
      <c r="O346" s="9">
        <v>4.7</v>
      </c>
      <c r="P346" s="41">
        <v>2</v>
      </c>
    </row>
    <row r="347" spans="1:16" x14ac:dyDescent="0.3">
      <c r="A347" s="9"/>
      <c r="B347" s="37">
        <v>6.0188853441603731</v>
      </c>
      <c r="C347" s="9" t="s">
        <v>97</v>
      </c>
      <c r="D347" s="37">
        <v>1044444.4444444418</v>
      </c>
      <c r="E347" s="9">
        <v>-2.25</v>
      </c>
      <c r="F347" s="9">
        <v>150.24</v>
      </c>
      <c r="G347" s="9">
        <v>1</v>
      </c>
      <c r="H347" s="9">
        <v>0</v>
      </c>
      <c r="I347" s="9">
        <v>0.83</v>
      </c>
      <c r="J347" s="9">
        <v>1</v>
      </c>
      <c r="K347" s="9">
        <v>1.65</v>
      </c>
      <c r="L347" s="9">
        <v>2.4</v>
      </c>
      <c r="M347" s="9">
        <v>1140</v>
      </c>
      <c r="N347" s="9">
        <v>9.5</v>
      </c>
      <c r="O347" s="9">
        <v>4.7</v>
      </c>
      <c r="P347" s="41">
        <v>2</v>
      </c>
    </row>
    <row r="348" spans="1:16" x14ac:dyDescent="0.3">
      <c r="A348" s="9"/>
      <c r="B348" s="37">
        <v>5.8846065812979313</v>
      </c>
      <c r="C348" s="9" t="s">
        <v>62</v>
      </c>
      <c r="D348" s="37">
        <v>766666.66666666768</v>
      </c>
      <c r="E348" s="9">
        <v>-0.49</v>
      </c>
      <c r="F348" s="9">
        <v>183.18</v>
      </c>
      <c r="G348" s="9">
        <v>0</v>
      </c>
      <c r="H348" s="9">
        <v>1</v>
      </c>
      <c r="I348" s="9">
        <v>0.24</v>
      </c>
      <c r="J348" s="9">
        <v>1</v>
      </c>
      <c r="K348" s="9">
        <v>1.18</v>
      </c>
      <c r="L348" s="40">
        <v>1</v>
      </c>
      <c r="M348" s="9">
        <v>1140</v>
      </c>
      <c r="N348" s="9">
        <v>9.5</v>
      </c>
      <c r="O348" s="9">
        <v>4.7</v>
      </c>
      <c r="P348" s="41">
        <v>2</v>
      </c>
    </row>
    <row r="349" spans="1:16" x14ac:dyDescent="0.3">
      <c r="A349" s="9"/>
      <c r="B349" s="37">
        <v>5.7319060624310065</v>
      </c>
      <c r="C349" s="9" t="s">
        <v>61</v>
      </c>
      <c r="D349" s="37">
        <v>539393.93939393968</v>
      </c>
      <c r="E349" s="9">
        <v>-0.2</v>
      </c>
      <c r="F349" s="9">
        <v>186.22</v>
      </c>
      <c r="G349" s="9">
        <v>0</v>
      </c>
      <c r="H349" s="9">
        <v>1</v>
      </c>
      <c r="I349" s="9">
        <v>0.08</v>
      </c>
      <c r="J349" s="9">
        <v>1</v>
      </c>
      <c r="K349" s="9">
        <v>1.45</v>
      </c>
      <c r="L349" s="9">
        <v>1.43</v>
      </c>
      <c r="M349" s="9">
        <v>1140</v>
      </c>
      <c r="N349" s="9">
        <v>9.5</v>
      </c>
      <c r="O349" s="9">
        <v>4.7</v>
      </c>
      <c r="P349" s="41">
        <v>2</v>
      </c>
    </row>
    <row r="350" spans="1:16" x14ac:dyDescent="0.3">
      <c r="A350" s="9"/>
      <c r="B350" s="37">
        <v>5.361727836017594</v>
      </c>
      <c r="C350" s="9" t="s">
        <v>60</v>
      </c>
      <c r="D350" s="37">
        <v>230000.00000000035</v>
      </c>
      <c r="E350" s="9">
        <v>-0.59</v>
      </c>
      <c r="F350" s="9">
        <v>126.12</v>
      </c>
      <c r="G350" s="9">
        <v>0</v>
      </c>
      <c r="H350" s="9">
        <v>0</v>
      </c>
      <c r="I350" s="9">
        <v>-1.69</v>
      </c>
      <c r="J350" s="9">
        <v>0</v>
      </c>
      <c r="K350" s="9">
        <v>0.76</v>
      </c>
      <c r="L350" s="9">
        <v>1.51</v>
      </c>
      <c r="M350" s="9">
        <v>1140</v>
      </c>
      <c r="N350" s="9">
        <v>9.5</v>
      </c>
      <c r="O350" s="9">
        <v>4.7</v>
      </c>
      <c r="P350" s="41">
        <v>2</v>
      </c>
    </row>
    <row r="351" spans="1:16" x14ac:dyDescent="0.3">
      <c r="A351" s="9"/>
      <c r="B351" s="37">
        <v>5.7037684099708423</v>
      </c>
      <c r="C351" s="9" t="s">
        <v>66</v>
      </c>
      <c r="D351" s="37">
        <v>505555</v>
      </c>
      <c r="E351" s="9">
        <v>-0.93</v>
      </c>
      <c r="F351" s="9">
        <v>266.25</v>
      </c>
      <c r="G351" s="9">
        <v>0</v>
      </c>
      <c r="H351" s="9">
        <v>1</v>
      </c>
      <c r="I351" s="9">
        <v>-0.42</v>
      </c>
      <c r="J351" s="9">
        <v>2</v>
      </c>
      <c r="K351" s="9">
        <v>1.88</v>
      </c>
      <c r="L351" s="9">
        <v>2.86</v>
      </c>
      <c r="M351" s="9">
        <v>1140</v>
      </c>
      <c r="N351" s="9">
        <v>9.5</v>
      </c>
      <c r="O351" s="9">
        <v>4.7</v>
      </c>
      <c r="P351" s="41">
        <v>2</v>
      </c>
    </row>
    <row r="352" spans="1:16" x14ac:dyDescent="0.3">
      <c r="A352" s="9"/>
      <c r="B352" s="37">
        <v>5.487340419901348</v>
      </c>
      <c r="C352" s="9" t="s">
        <v>65</v>
      </c>
      <c r="D352" s="37">
        <v>307142.85714285704</v>
      </c>
      <c r="E352" s="9">
        <v>-0.71</v>
      </c>
      <c r="F352" s="9">
        <v>172.2</v>
      </c>
      <c r="G352" s="9">
        <v>0</v>
      </c>
      <c r="H352" s="9">
        <v>1</v>
      </c>
      <c r="I352" s="9">
        <v>0.37</v>
      </c>
      <c r="J352" s="9">
        <v>1</v>
      </c>
      <c r="K352" s="9">
        <v>1.28</v>
      </c>
      <c r="L352" s="9">
        <v>1.21</v>
      </c>
      <c r="M352" s="9">
        <v>1140</v>
      </c>
      <c r="N352" s="9">
        <v>9.5</v>
      </c>
      <c r="O352" s="9">
        <v>4.7</v>
      </c>
      <c r="P352" s="41">
        <v>2</v>
      </c>
    </row>
    <row r="353" spans="1:16" x14ac:dyDescent="0.3">
      <c r="A353" s="9"/>
      <c r="B353" s="37">
        <v>5.1233849085396788</v>
      </c>
      <c r="C353" s="9" t="s">
        <v>64</v>
      </c>
      <c r="D353" s="37">
        <v>132857.14285714302</v>
      </c>
      <c r="E353" s="9">
        <v>-1.43</v>
      </c>
      <c r="F353" s="9">
        <v>151.25</v>
      </c>
      <c r="G353" s="9">
        <v>1</v>
      </c>
      <c r="H353" s="9">
        <v>0</v>
      </c>
      <c r="I353" s="9">
        <v>-2.17</v>
      </c>
      <c r="J353" s="9">
        <v>0</v>
      </c>
      <c r="K353" s="9">
        <v>1.42</v>
      </c>
      <c r="L353" s="9">
        <v>3.12</v>
      </c>
      <c r="M353" s="9">
        <v>1140</v>
      </c>
      <c r="N353" s="9">
        <v>9.5</v>
      </c>
      <c r="O353" s="9">
        <v>4.7</v>
      </c>
      <c r="P353" s="41">
        <v>2</v>
      </c>
    </row>
    <row r="354" spans="1:16" x14ac:dyDescent="0.3">
      <c r="A354" s="9"/>
      <c r="B354" s="37">
        <v>5.18089014193745</v>
      </c>
      <c r="C354" s="9" t="s">
        <v>98</v>
      </c>
      <c r="D354" s="37">
        <v>151666.66666666669</v>
      </c>
      <c r="E354" s="9">
        <v>-1.49</v>
      </c>
      <c r="F354" s="9">
        <v>163.15</v>
      </c>
      <c r="G354" s="9">
        <v>0</v>
      </c>
      <c r="H354" s="9">
        <v>1</v>
      </c>
      <c r="I354" s="9">
        <v>1.22</v>
      </c>
      <c r="J354" s="9">
        <v>0</v>
      </c>
      <c r="K354" s="39">
        <v>0.97570000000000001</v>
      </c>
      <c r="L354" s="9">
        <v>0.623</v>
      </c>
      <c r="M354" s="9">
        <v>1140</v>
      </c>
      <c r="N354" s="9">
        <v>9.5</v>
      </c>
      <c r="O354" s="9">
        <v>4.7</v>
      </c>
      <c r="P354" s="41">
        <v>2</v>
      </c>
    </row>
    <row r="355" spans="1:16" x14ac:dyDescent="0.3">
      <c r="A355" s="9"/>
      <c r="B355" s="37">
        <v>4.865301426102544</v>
      </c>
      <c r="C355" s="9" t="s">
        <v>67</v>
      </c>
      <c r="D355" s="37">
        <v>73333.333333333387</v>
      </c>
      <c r="E355" s="9">
        <v>0.06</v>
      </c>
      <c r="F355" s="9">
        <v>207.24</v>
      </c>
      <c r="G355" s="9">
        <v>0</v>
      </c>
      <c r="H355" s="9">
        <v>0</v>
      </c>
      <c r="I355" s="9">
        <v>-1.47</v>
      </c>
      <c r="J355" s="9">
        <v>0</v>
      </c>
      <c r="K355" s="9">
        <v>1.64</v>
      </c>
      <c r="L355" s="40">
        <v>1</v>
      </c>
      <c r="M355" s="9">
        <v>1140</v>
      </c>
      <c r="N355" s="9">
        <v>9.5</v>
      </c>
      <c r="O355" s="9">
        <v>4.7</v>
      </c>
      <c r="P355" s="41">
        <v>2</v>
      </c>
    </row>
    <row r="356" spans="1:16" x14ac:dyDescent="0.3">
      <c r="A356" s="9"/>
      <c r="B356" s="37">
        <v>5.42441490420366</v>
      </c>
      <c r="C356" s="9" t="s">
        <v>68</v>
      </c>
      <c r="D356" s="37">
        <v>265714.28571428603</v>
      </c>
      <c r="E356" s="9">
        <v>-0.62</v>
      </c>
      <c r="F356" s="9">
        <v>613.91</v>
      </c>
      <c r="G356" s="9">
        <v>0</v>
      </c>
      <c r="H356" s="9">
        <v>1</v>
      </c>
      <c r="I356" s="9">
        <v>-3.82</v>
      </c>
      <c r="J356" s="9">
        <v>1</v>
      </c>
      <c r="K356" s="9">
        <v>2.34</v>
      </c>
      <c r="L356" s="40">
        <v>1</v>
      </c>
      <c r="M356" s="9">
        <v>1140</v>
      </c>
      <c r="N356" s="9">
        <v>9.5</v>
      </c>
      <c r="O356" s="9">
        <v>4.7</v>
      </c>
      <c r="P356" s="41">
        <v>2</v>
      </c>
    </row>
    <row r="357" spans="1:16" x14ac:dyDescent="0.3">
      <c r="A357" s="9"/>
      <c r="B357" s="37">
        <v>4.2403321553103694</v>
      </c>
      <c r="C357" s="9" t="s">
        <v>98</v>
      </c>
      <c r="D357" s="37">
        <v>17391.304347826081</v>
      </c>
      <c r="E357" s="9">
        <v>-1.49</v>
      </c>
      <c r="F357" s="9">
        <v>163.15</v>
      </c>
      <c r="G357" s="9">
        <v>0</v>
      </c>
      <c r="H357" s="9">
        <v>1</v>
      </c>
      <c r="I357" s="9">
        <v>1.22</v>
      </c>
      <c r="J357" s="9">
        <v>0</v>
      </c>
      <c r="K357" s="39">
        <v>0.97570000000000001</v>
      </c>
      <c r="L357" s="9">
        <v>0.623</v>
      </c>
      <c r="M357" s="9">
        <v>1030</v>
      </c>
      <c r="N357" s="9">
        <v>8.1</v>
      </c>
      <c r="O357" s="9">
        <v>1.8</v>
      </c>
      <c r="P357" s="41">
        <v>2</v>
      </c>
    </row>
    <row r="358" spans="1:16" x14ac:dyDescent="0.3">
      <c r="A358" s="9"/>
      <c r="B358" s="37">
        <v>4.9330532103693869</v>
      </c>
      <c r="C358" s="9" t="s">
        <v>64</v>
      </c>
      <c r="D358" s="37">
        <v>85714.285714285739</v>
      </c>
      <c r="E358" s="9">
        <v>-1.43</v>
      </c>
      <c r="F358" s="9">
        <v>151.25</v>
      </c>
      <c r="G358" s="9">
        <v>1</v>
      </c>
      <c r="H358" s="9">
        <v>0</v>
      </c>
      <c r="I358" s="9">
        <v>-2.17</v>
      </c>
      <c r="J358" s="9">
        <v>0</v>
      </c>
      <c r="K358" s="9">
        <v>1.42</v>
      </c>
      <c r="L358" s="9">
        <v>3.12</v>
      </c>
      <c r="M358" s="9">
        <v>1030</v>
      </c>
      <c r="N358" s="9">
        <v>8.1</v>
      </c>
      <c r="O358" s="9">
        <v>1.8</v>
      </c>
      <c r="P358" s="41">
        <v>2</v>
      </c>
    </row>
    <row r="359" spans="1:16" x14ac:dyDescent="0.3">
      <c r="A359" s="9"/>
      <c r="B359" s="37">
        <v>5.4234363957568856</v>
      </c>
      <c r="C359" s="9" t="s">
        <v>96</v>
      </c>
      <c r="D359" s="37">
        <v>265116.27906976739</v>
      </c>
      <c r="E359" s="9">
        <v>1.29</v>
      </c>
      <c r="F359" s="9">
        <v>119.127</v>
      </c>
      <c r="G359" s="9">
        <v>0</v>
      </c>
      <c r="H359" s="9">
        <v>0</v>
      </c>
      <c r="I359" s="9">
        <v>-1.21</v>
      </c>
      <c r="J359" s="9">
        <v>1</v>
      </c>
      <c r="K359" s="39">
        <v>0.86419999999999997</v>
      </c>
      <c r="L359" s="9">
        <v>2.17</v>
      </c>
      <c r="M359" s="9">
        <v>1030</v>
      </c>
      <c r="N359" s="9">
        <v>8.1</v>
      </c>
      <c r="O359" s="9">
        <v>1.8</v>
      </c>
      <c r="P359" s="41">
        <v>2</v>
      </c>
    </row>
    <row r="360" spans="1:16" x14ac:dyDescent="0.3">
      <c r="A360" s="9"/>
      <c r="B360" s="37">
        <v>5.3881801713828814</v>
      </c>
      <c r="C360" s="9" t="s">
        <v>43</v>
      </c>
      <c r="D360" s="37">
        <v>244444.4444444445</v>
      </c>
      <c r="E360" s="9">
        <v>2.77</v>
      </c>
      <c r="F360" s="9">
        <v>236.3</v>
      </c>
      <c r="G360" s="9">
        <v>0</v>
      </c>
      <c r="H360" s="9">
        <v>0</v>
      </c>
      <c r="I360" s="9">
        <v>-3.79</v>
      </c>
      <c r="J360" s="9">
        <v>2</v>
      </c>
      <c r="K360" s="9">
        <v>1.87</v>
      </c>
      <c r="L360" s="9">
        <v>3.12</v>
      </c>
      <c r="M360" s="9">
        <v>1030</v>
      </c>
      <c r="N360" s="9">
        <v>8.1</v>
      </c>
      <c r="O360" s="9">
        <v>1.8</v>
      </c>
      <c r="P360" s="41">
        <v>2</v>
      </c>
    </row>
    <row r="361" spans="1:16" x14ac:dyDescent="0.3">
      <c r="A361" s="9"/>
      <c r="B361" s="37">
        <v>5.3881801713828814</v>
      </c>
      <c r="C361" s="9" t="s">
        <v>61</v>
      </c>
      <c r="D361" s="37">
        <v>244444.4444444445</v>
      </c>
      <c r="E361" s="9">
        <v>-0.2</v>
      </c>
      <c r="F361" s="9">
        <v>186.22</v>
      </c>
      <c r="G361" s="9">
        <v>0</v>
      </c>
      <c r="H361" s="9">
        <v>1</v>
      </c>
      <c r="I361" s="9">
        <v>0.08</v>
      </c>
      <c r="J361" s="9">
        <v>1</v>
      </c>
      <c r="K361" s="9">
        <v>1.45</v>
      </c>
      <c r="L361" s="9">
        <v>1.43</v>
      </c>
      <c r="M361" s="9">
        <v>1030</v>
      </c>
      <c r="N361" s="9">
        <v>8.1</v>
      </c>
      <c r="O361" s="9">
        <v>1.8</v>
      </c>
      <c r="P361" s="41">
        <v>2</v>
      </c>
    </row>
    <row r="362" spans="1:16" x14ac:dyDescent="0.3">
      <c r="A362" s="9"/>
      <c r="B362" s="37">
        <v>4.6424886483835701</v>
      </c>
      <c r="C362" s="9" t="s">
        <v>70</v>
      </c>
      <c r="D362" s="37">
        <v>43902.439024390231</v>
      </c>
      <c r="E362" s="9">
        <v>0.1</v>
      </c>
      <c r="F362" s="9">
        <v>231.26</v>
      </c>
      <c r="G362" s="9">
        <v>0</v>
      </c>
      <c r="H362" s="9">
        <v>0</v>
      </c>
      <c r="I362" s="9">
        <v>-1.37</v>
      </c>
      <c r="J362" s="9">
        <v>1</v>
      </c>
      <c r="K362" s="9">
        <v>1.78</v>
      </c>
      <c r="L362" s="9">
        <v>1.06</v>
      </c>
      <c r="M362" s="9">
        <v>1030</v>
      </c>
      <c r="N362" s="9">
        <v>8.1</v>
      </c>
      <c r="O362" s="9">
        <v>1.8</v>
      </c>
      <c r="P362" s="41">
        <v>2</v>
      </c>
    </row>
    <row r="363" spans="1:16" x14ac:dyDescent="0.3">
      <c r="A363" s="9"/>
      <c r="B363" s="37">
        <v>4.1060533924479268</v>
      </c>
      <c r="C363" s="9" t="s">
        <v>99</v>
      </c>
      <c r="D363" s="37">
        <v>12765.957446808523</v>
      </c>
      <c r="E363" s="9">
        <v>-1.27</v>
      </c>
      <c r="F363" s="9">
        <v>171.24</v>
      </c>
      <c r="G363" s="9">
        <v>1</v>
      </c>
      <c r="H363" s="9">
        <v>1</v>
      </c>
      <c r="I363" s="9">
        <v>-1.1200000000000001</v>
      </c>
      <c r="J363" s="9">
        <v>0</v>
      </c>
      <c r="K363" s="38">
        <v>1.4422999999999999</v>
      </c>
      <c r="L363" s="9">
        <v>1.77</v>
      </c>
      <c r="M363" s="9">
        <v>1030</v>
      </c>
      <c r="N363" s="9">
        <v>8.1</v>
      </c>
      <c r="O363" s="9">
        <v>1.8</v>
      </c>
      <c r="P363" s="41">
        <v>2</v>
      </c>
    </row>
    <row r="364" spans="1:16" x14ac:dyDescent="0.3">
      <c r="A364" s="9"/>
      <c r="B364" s="37">
        <v>4.0457574905606748</v>
      </c>
      <c r="C364" s="9" t="s">
        <v>71</v>
      </c>
      <c r="D364" s="37">
        <v>11111.111111111109</v>
      </c>
      <c r="E364" s="9">
        <v>-2.3199999999999998</v>
      </c>
      <c r="F364" s="9">
        <v>201.31</v>
      </c>
      <c r="G364" s="9">
        <v>1</v>
      </c>
      <c r="H364" s="9">
        <v>0</v>
      </c>
      <c r="I364" s="9">
        <v>1.64</v>
      </c>
      <c r="J364" s="9">
        <v>0</v>
      </c>
      <c r="K364" s="9">
        <v>2.06</v>
      </c>
      <c r="L364" s="40">
        <v>1</v>
      </c>
      <c r="M364" s="9">
        <v>1030</v>
      </c>
      <c r="N364" s="9">
        <v>8.1</v>
      </c>
      <c r="O364" s="9">
        <v>1.8</v>
      </c>
      <c r="P364" s="41">
        <v>2</v>
      </c>
    </row>
    <row r="365" spans="1:16" x14ac:dyDescent="0.3">
      <c r="A365" s="9"/>
      <c r="B365" s="37">
        <v>5.5321688210505675</v>
      </c>
      <c r="C365" s="9" t="s">
        <v>60</v>
      </c>
      <c r="D365" s="37">
        <v>340540.54054054053</v>
      </c>
      <c r="E365" s="9">
        <v>-0.59</v>
      </c>
      <c r="F365" s="9">
        <v>126.12</v>
      </c>
      <c r="G365" s="9">
        <v>0</v>
      </c>
      <c r="H365" s="9">
        <v>0</v>
      </c>
      <c r="I365" s="9">
        <v>-1.69</v>
      </c>
      <c r="J365" s="9">
        <v>0</v>
      </c>
      <c r="K365" s="9">
        <v>0.76</v>
      </c>
      <c r="L365" s="9">
        <v>1.51</v>
      </c>
      <c r="M365" s="9">
        <v>1030</v>
      </c>
      <c r="N365" s="9">
        <v>8.1</v>
      </c>
      <c r="O365" s="9">
        <v>1.8</v>
      </c>
      <c r="P365" s="41">
        <v>2</v>
      </c>
    </row>
    <row r="366" spans="1:16" x14ac:dyDescent="0.3">
      <c r="A366" s="9"/>
      <c r="B366" s="37">
        <v>5.3532080073290524</v>
      </c>
      <c r="C366" s="9" t="s">
        <v>59</v>
      </c>
      <c r="D366" s="37">
        <v>225531.91489361707</v>
      </c>
      <c r="E366" s="9">
        <v>1.1200000000000001</v>
      </c>
      <c r="F366" s="9">
        <v>218.26</v>
      </c>
      <c r="G366" s="9">
        <v>0</v>
      </c>
      <c r="H366" s="9">
        <v>0</v>
      </c>
      <c r="I366" s="9">
        <v>-1.93</v>
      </c>
      <c r="J366" s="9">
        <v>1</v>
      </c>
      <c r="K366" s="9">
        <v>1.77</v>
      </c>
      <c r="L366" s="9">
        <v>2.14</v>
      </c>
      <c r="M366" s="9">
        <v>1030</v>
      </c>
      <c r="N366" s="9">
        <v>8.1</v>
      </c>
      <c r="O366" s="9">
        <v>1.8</v>
      </c>
      <c r="P366" s="41">
        <v>2</v>
      </c>
    </row>
    <row r="367" spans="1:16" x14ac:dyDescent="0.3">
      <c r="A367" s="9"/>
      <c r="B367" s="37">
        <v>4.8908555305749317</v>
      </c>
      <c r="C367" s="9" t="s">
        <v>93</v>
      </c>
      <c r="D367" s="37">
        <v>77777.777777777796</v>
      </c>
      <c r="E367" s="9">
        <v>0.14000000000000001</v>
      </c>
      <c r="F367" s="9">
        <v>253.28</v>
      </c>
      <c r="G367" s="9">
        <v>0</v>
      </c>
      <c r="H367" s="9">
        <v>1</v>
      </c>
      <c r="I367" s="9">
        <v>-1.03</v>
      </c>
      <c r="J367" s="9">
        <v>1</v>
      </c>
      <c r="K367" s="9">
        <v>1.72</v>
      </c>
      <c r="L367" s="9">
        <v>2.41</v>
      </c>
      <c r="M367" s="9">
        <v>1030</v>
      </c>
      <c r="N367" s="9">
        <v>8.1</v>
      </c>
      <c r="O367" s="9">
        <v>1.8</v>
      </c>
      <c r="P367" s="41">
        <v>2</v>
      </c>
    </row>
    <row r="368" spans="1:16" x14ac:dyDescent="0.3">
      <c r="A368" s="9"/>
      <c r="B368" s="37">
        <v>6.2113875529368592</v>
      </c>
      <c r="C368" s="9" t="s">
        <v>100</v>
      </c>
      <c r="D368" s="37">
        <v>1627000</v>
      </c>
      <c r="E368" s="9">
        <v>1.03</v>
      </c>
      <c r="F368" s="9">
        <v>211.268</v>
      </c>
      <c r="G368" s="9">
        <v>1</v>
      </c>
      <c r="H368" s="9">
        <v>0</v>
      </c>
      <c r="I368" s="9">
        <v>-3.6</v>
      </c>
      <c r="J368" s="9">
        <v>2</v>
      </c>
      <c r="K368" s="38">
        <v>1.7215</v>
      </c>
      <c r="L368" s="38">
        <v>3.220108088040055</v>
      </c>
      <c r="M368" s="9">
        <v>1260</v>
      </c>
      <c r="N368" s="9">
        <v>6.3</v>
      </c>
      <c r="O368" s="9">
        <v>3.9</v>
      </c>
      <c r="P368" s="41">
        <v>11</v>
      </c>
    </row>
    <row r="369" spans="1:16" x14ac:dyDescent="0.3">
      <c r="A369" s="9"/>
      <c r="B369" s="37">
        <v>5.5216610151120733</v>
      </c>
      <c r="C369" s="9" t="s">
        <v>101</v>
      </c>
      <c r="D369" s="37">
        <v>332400</v>
      </c>
      <c r="E369" s="9">
        <v>1.29</v>
      </c>
      <c r="F369" s="9">
        <v>119.127</v>
      </c>
      <c r="G369" s="9">
        <v>0</v>
      </c>
      <c r="H369" s="9">
        <v>0</v>
      </c>
      <c r="I369" s="9">
        <v>-1.21</v>
      </c>
      <c r="J369" s="9">
        <v>1</v>
      </c>
      <c r="K369" s="39">
        <v>0.86419999999999997</v>
      </c>
      <c r="L369" s="38">
        <v>2.173186268412274</v>
      </c>
      <c r="M369" s="9">
        <v>1260</v>
      </c>
      <c r="N369" s="9">
        <v>6.3</v>
      </c>
      <c r="O369" s="9">
        <v>3.9</v>
      </c>
      <c r="P369" s="41">
        <v>11</v>
      </c>
    </row>
    <row r="370" spans="1:16" x14ac:dyDescent="0.3">
      <c r="A370" s="9"/>
      <c r="B370" s="37">
        <v>4.7498952294086196</v>
      </c>
      <c r="C370" s="9" t="s">
        <v>102</v>
      </c>
      <c r="D370" s="37">
        <v>56220.568053083494</v>
      </c>
      <c r="E370" s="9">
        <v>-0.4</v>
      </c>
      <c r="F370" s="9">
        <v>215.24</v>
      </c>
      <c r="G370" s="9">
        <v>0</v>
      </c>
      <c r="H370" s="9">
        <v>1</v>
      </c>
      <c r="I370" s="9">
        <v>-2.37</v>
      </c>
      <c r="J370" s="9">
        <v>1</v>
      </c>
      <c r="K370" s="38">
        <v>1.3086</v>
      </c>
      <c r="L370" s="38">
        <v>1.7781512503836436</v>
      </c>
      <c r="M370" s="9">
        <v>1260</v>
      </c>
      <c r="N370" s="9">
        <v>6.3</v>
      </c>
      <c r="O370" s="9">
        <v>3.9</v>
      </c>
      <c r="P370" s="41">
        <v>11</v>
      </c>
    </row>
    <row r="371" spans="1:16" x14ac:dyDescent="0.3">
      <c r="A371" s="9"/>
      <c r="B371" s="37">
        <v>5.8971870765801535</v>
      </c>
      <c r="C371" s="9" t="s">
        <v>103</v>
      </c>
      <c r="D371" s="37">
        <v>789200</v>
      </c>
      <c r="E371" s="9">
        <v>-0.23</v>
      </c>
      <c r="F371" s="9">
        <v>208.23</v>
      </c>
      <c r="G371" s="9">
        <v>0</v>
      </c>
      <c r="H371" s="9">
        <v>1</v>
      </c>
      <c r="I371" s="9">
        <v>-3.01</v>
      </c>
      <c r="J371" s="9">
        <v>2</v>
      </c>
      <c r="K371" s="9">
        <v>1.425</v>
      </c>
      <c r="L371" s="38">
        <v>2.0413926851582249</v>
      </c>
      <c r="M371" s="9">
        <v>1260</v>
      </c>
      <c r="N371" s="9">
        <v>6.3</v>
      </c>
      <c r="O371" s="9">
        <v>3.9</v>
      </c>
      <c r="P371" s="41">
        <v>11</v>
      </c>
    </row>
    <row r="372" spans="1:16" x14ac:dyDescent="0.3">
      <c r="A372" s="9"/>
      <c r="B372" s="37">
        <v>5.9450422399902347</v>
      </c>
      <c r="C372" s="9" t="s">
        <v>104</v>
      </c>
      <c r="D372" s="37">
        <v>881134.56902123301</v>
      </c>
      <c r="E372" s="9">
        <v>1.83</v>
      </c>
      <c r="F372" s="9">
        <v>145.161</v>
      </c>
      <c r="G372" s="9">
        <v>0</v>
      </c>
      <c r="H372" s="9">
        <v>0</v>
      </c>
      <c r="I372" s="9">
        <v>-1.55</v>
      </c>
      <c r="J372" s="9">
        <v>2</v>
      </c>
      <c r="K372" s="9">
        <v>1.103</v>
      </c>
      <c r="L372" s="38">
        <v>3.3053513694466239</v>
      </c>
      <c r="M372" s="9">
        <v>1260</v>
      </c>
      <c r="N372" s="9">
        <v>6.3</v>
      </c>
      <c r="O372" s="9">
        <v>3.9</v>
      </c>
      <c r="P372" s="41">
        <v>11</v>
      </c>
    </row>
    <row r="373" spans="1:16" x14ac:dyDescent="0.3">
      <c r="A373" s="9"/>
      <c r="B373" s="37">
        <v>5.1288726349361626</v>
      </c>
      <c r="C373" s="9" t="s">
        <v>105</v>
      </c>
      <c r="D373" s="37">
        <v>134546.57129447238</v>
      </c>
      <c r="E373" s="9">
        <v>1.35</v>
      </c>
      <c r="F373" s="9">
        <v>139.11000000000001</v>
      </c>
      <c r="G373" s="9">
        <v>0</v>
      </c>
      <c r="H373" s="9">
        <v>1</v>
      </c>
      <c r="I373" s="9">
        <v>-1.43</v>
      </c>
      <c r="J373" s="9">
        <v>1</v>
      </c>
      <c r="K373" s="39">
        <v>0.94930000000000003</v>
      </c>
      <c r="L373" s="38">
        <v>2.4623979978989561</v>
      </c>
      <c r="M373" s="9">
        <v>1260</v>
      </c>
      <c r="N373" s="9">
        <v>6.3</v>
      </c>
      <c r="O373" s="9">
        <v>3.9</v>
      </c>
      <c r="P373" s="41">
        <v>11</v>
      </c>
    </row>
    <row r="374" spans="1:16" x14ac:dyDescent="0.3">
      <c r="A374" s="9"/>
      <c r="B374" s="37">
        <v>7.3332468511912783</v>
      </c>
      <c r="C374" s="9" t="s">
        <v>106</v>
      </c>
      <c r="D374" s="37">
        <v>21540057.147980031</v>
      </c>
      <c r="E374" s="9">
        <v>1.91</v>
      </c>
      <c r="F374" s="9">
        <v>203.24</v>
      </c>
      <c r="G374" s="9">
        <v>1</v>
      </c>
      <c r="H374" s="9">
        <v>0</v>
      </c>
      <c r="I374" s="9">
        <v>-3.27</v>
      </c>
      <c r="J374" s="9">
        <v>2</v>
      </c>
      <c r="K374" s="38">
        <v>1.5844</v>
      </c>
      <c r="L374" s="38">
        <v>2.3222192947339191</v>
      </c>
      <c r="M374" s="9">
        <v>1260</v>
      </c>
      <c r="N374" s="9">
        <v>6.3</v>
      </c>
      <c r="O374" s="9">
        <v>3.9</v>
      </c>
      <c r="P374" s="41">
        <v>11</v>
      </c>
    </row>
    <row r="375" spans="1:16" x14ac:dyDescent="0.3">
      <c r="A375" s="9"/>
      <c r="B375" s="37">
        <v>5.1638652918360846</v>
      </c>
      <c r="C375" s="9" t="s">
        <v>98</v>
      </c>
      <c r="D375" s="37">
        <v>145836.1839798596</v>
      </c>
      <c r="E375" s="9">
        <v>-1.49</v>
      </c>
      <c r="F375" s="9">
        <v>163.15</v>
      </c>
      <c r="G375" s="9">
        <v>0</v>
      </c>
      <c r="H375" s="9">
        <v>1</v>
      </c>
      <c r="I375" s="9">
        <v>1.22</v>
      </c>
      <c r="J375" s="9">
        <v>0</v>
      </c>
      <c r="K375" s="39">
        <v>0.97570000000000001</v>
      </c>
      <c r="L375" s="38">
        <v>0.62324929039790045</v>
      </c>
      <c r="M375" s="9">
        <v>1260</v>
      </c>
      <c r="N375" s="9">
        <v>6.3</v>
      </c>
      <c r="O375" s="9">
        <v>3.9</v>
      </c>
      <c r="P375" s="41">
        <v>11</v>
      </c>
    </row>
    <row r="376" spans="1:16" x14ac:dyDescent="0.3">
      <c r="A376" s="9"/>
      <c r="B376" s="37">
        <v>7.4104230588834907</v>
      </c>
      <c r="C376" s="9" t="s">
        <v>107</v>
      </c>
      <c r="D376" s="37">
        <v>25729009</v>
      </c>
      <c r="E376" s="9">
        <v>1.8</v>
      </c>
      <c r="F376" s="9">
        <v>191.19</v>
      </c>
      <c r="G376" s="9">
        <v>1</v>
      </c>
      <c r="H376" s="9">
        <v>0</v>
      </c>
      <c r="I376" s="9">
        <v>-2.65</v>
      </c>
      <c r="J376" s="9">
        <v>1</v>
      </c>
      <c r="K376" s="38">
        <v>1.3613</v>
      </c>
      <c r="L376" s="38">
        <v>2.6020599913279625</v>
      </c>
      <c r="M376" s="9">
        <v>1260</v>
      </c>
      <c r="N376" s="9">
        <v>6.3</v>
      </c>
      <c r="O376" s="9">
        <v>3.9</v>
      </c>
      <c r="P376" s="41">
        <v>11</v>
      </c>
    </row>
    <row r="377" spans="1:16" x14ac:dyDescent="0.3">
      <c r="A377" s="9"/>
      <c r="B377" s="37">
        <v>5.3056187825098524</v>
      </c>
      <c r="C377" s="9" t="s">
        <v>94</v>
      </c>
      <c r="D377" s="37">
        <v>202124.4180500154</v>
      </c>
      <c r="E377" s="9">
        <v>-0.86</v>
      </c>
      <c r="F377" s="9">
        <v>331.34699999999998</v>
      </c>
      <c r="G377" s="9">
        <v>1</v>
      </c>
      <c r="H377" s="9">
        <v>1</v>
      </c>
      <c r="I377" s="9">
        <v>-2.27</v>
      </c>
      <c r="J377" s="9">
        <v>1</v>
      </c>
      <c r="K377" s="38">
        <v>2.3047</v>
      </c>
      <c r="L377" s="38">
        <v>1.550228353055094</v>
      </c>
      <c r="M377" s="9">
        <v>1260</v>
      </c>
      <c r="N377" s="9">
        <v>6.3</v>
      </c>
      <c r="O377" s="9">
        <v>3.9</v>
      </c>
      <c r="P377" s="41">
        <v>11</v>
      </c>
    </row>
    <row r="378" spans="1:16" x14ac:dyDescent="0.3">
      <c r="A378" s="9"/>
      <c r="B378" s="37">
        <v>3.3661820927458135</v>
      </c>
      <c r="C378" s="9" t="s">
        <v>108</v>
      </c>
      <c r="D378" s="37">
        <v>2323.710887025773</v>
      </c>
      <c r="E378" s="9">
        <v>-1.72</v>
      </c>
      <c r="F378" s="9">
        <v>99.177000000000007</v>
      </c>
      <c r="G378" s="9">
        <v>1</v>
      </c>
      <c r="H378" s="9">
        <v>0</v>
      </c>
      <c r="I378" s="9">
        <v>1.03</v>
      </c>
      <c r="J378" s="9">
        <v>0</v>
      </c>
      <c r="K378" s="39">
        <v>0.94520000000000004</v>
      </c>
      <c r="L378" s="38">
        <v>2.1583624920952498</v>
      </c>
      <c r="M378" s="9">
        <v>1260</v>
      </c>
      <c r="N378" s="9">
        <v>6.3</v>
      </c>
      <c r="O378" s="9">
        <v>3.9</v>
      </c>
      <c r="P378" s="41">
        <v>11</v>
      </c>
    </row>
    <row r="379" spans="1:16" x14ac:dyDescent="0.3">
      <c r="A379" s="9"/>
      <c r="B379" s="37">
        <v>5.6703246921872816</v>
      </c>
      <c r="C379" s="9" t="s">
        <v>109</v>
      </c>
      <c r="D379" s="37">
        <v>468084.9655146384</v>
      </c>
      <c r="E379" s="9">
        <v>2.69</v>
      </c>
      <c r="F379" s="9">
        <v>222.24</v>
      </c>
      <c r="G379" s="9">
        <v>0</v>
      </c>
      <c r="H379" s="9">
        <v>0</v>
      </c>
      <c r="I379" s="9">
        <v>-2.72</v>
      </c>
      <c r="J379" s="9">
        <v>1</v>
      </c>
      <c r="K379" s="38">
        <v>1.7105999999999999</v>
      </c>
      <c r="L379" s="38">
        <v>2.0211892990699383</v>
      </c>
      <c r="M379" s="9">
        <v>1260</v>
      </c>
      <c r="N379" s="9">
        <v>6.3</v>
      </c>
      <c r="O379" s="9">
        <v>3.9</v>
      </c>
      <c r="P379" s="41">
        <v>11</v>
      </c>
    </row>
    <row r="380" spans="1:16" x14ac:dyDescent="0.3">
      <c r="A380" s="9"/>
      <c r="B380" s="37">
        <v>4.7582376059030409</v>
      </c>
      <c r="C380" s="9" t="s">
        <v>99</v>
      </c>
      <c r="D380" s="37">
        <v>57310.94979104009</v>
      </c>
      <c r="E380" s="9">
        <v>-1.27</v>
      </c>
      <c r="F380" s="9">
        <v>171.24</v>
      </c>
      <c r="G380" s="9">
        <v>1</v>
      </c>
      <c r="H380" s="9">
        <v>1</v>
      </c>
      <c r="I380" s="9">
        <v>-1.1200000000000001</v>
      </c>
      <c r="J380" s="9">
        <v>0</v>
      </c>
      <c r="K380" s="38">
        <v>1.4422999999999999</v>
      </c>
      <c r="L380" s="38">
        <v>1.7708520116421442</v>
      </c>
      <c r="M380" s="9">
        <v>1260</v>
      </c>
      <c r="N380" s="9">
        <v>6.3</v>
      </c>
      <c r="O380" s="9">
        <v>3.9</v>
      </c>
      <c r="P380" s="41">
        <v>11</v>
      </c>
    </row>
    <row r="381" spans="1:16" x14ac:dyDescent="0.3">
      <c r="A381" s="9"/>
      <c r="B381" s="37">
        <v>4.922229031809997</v>
      </c>
      <c r="C381" s="9" t="s">
        <v>110</v>
      </c>
      <c r="D381" s="37">
        <v>83604.380242733096</v>
      </c>
      <c r="E381" s="9">
        <v>-3.93</v>
      </c>
      <c r="F381" s="9">
        <v>102.09699999999999</v>
      </c>
      <c r="G381" s="9">
        <v>1</v>
      </c>
      <c r="H381" s="9">
        <v>0</v>
      </c>
      <c r="I381" s="9">
        <v>2.2799999999999998</v>
      </c>
      <c r="J381" s="9">
        <v>0</v>
      </c>
      <c r="K381" s="39">
        <v>0.76229999999999998</v>
      </c>
      <c r="L381" s="38">
        <v>1.8000293592441343</v>
      </c>
      <c r="M381" s="9">
        <v>1260</v>
      </c>
      <c r="N381" s="9">
        <v>6.3</v>
      </c>
      <c r="O381" s="9">
        <v>3.9</v>
      </c>
      <c r="P381" s="41">
        <v>11</v>
      </c>
    </row>
    <row r="382" spans="1:16" x14ac:dyDescent="0.3">
      <c r="A382" s="9"/>
      <c r="B382" s="37">
        <v>5.8384023159042098</v>
      </c>
      <c r="C382" s="9" t="s">
        <v>111</v>
      </c>
      <c r="D382" s="37">
        <v>689290.53640967456</v>
      </c>
      <c r="E382" s="9">
        <v>-0.25</v>
      </c>
      <c r="F382" s="9">
        <v>214.65</v>
      </c>
      <c r="G382" s="9">
        <v>0</v>
      </c>
      <c r="H382" s="9">
        <v>1</v>
      </c>
      <c r="I382" s="9">
        <v>-2.95</v>
      </c>
      <c r="J382" s="9">
        <v>1</v>
      </c>
      <c r="K382" s="38">
        <v>1.5355000000000001</v>
      </c>
      <c r="L382" s="38">
        <v>1.6839471307515121</v>
      </c>
      <c r="M382" s="9">
        <v>1260</v>
      </c>
      <c r="N382" s="9">
        <v>6.3</v>
      </c>
      <c r="O382" s="9">
        <v>3.9</v>
      </c>
      <c r="P382" s="41">
        <v>11</v>
      </c>
    </row>
    <row r="383" spans="1:16" x14ac:dyDescent="0.3">
      <c r="A383" s="9"/>
      <c r="B383" s="37">
        <v>5.6664089674090503</v>
      </c>
      <c r="C383" s="9" t="s">
        <v>112</v>
      </c>
      <c r="D383" s="37">
        <v>463883.5450277495</v>
      </c>
      <c r="E383" s="9">
        <v>0.17</v>
      </c>
      <c r="F383" s="9">
        <v>375.48</v>
      </c>
      <c r="G383" s="9">
        <v>1</v>
      </c>
      <c r="H383" s="9">
        <v>0</v>
      </c>
      <c r="I383" s="9">
        <v>-1.45</v>
      </c>
      <c r="J383" s="9">
        <v>1</v>
      </c>
      <c r="K383" s="38">
        <v>2.9611999999999998</v>
      </c>
      <c r="L383" s="38">
        <v>3.9500239065233265</v>
      </c>
      <c r="M383" s="9">
        <v>1260</v>
      </c>
      <c r="N383" s="9">
        <v>6.3</v>
      </c>
      <c r="O383" s="9">
        <v>3.9</v>
      </c>
      <c r="P383" s="41">
        <v>11</v>
      </c>
    </row>
    <row r="384" spans="1:16" x14ac:dyDescent="0.3">
      <c r="A384" s="9"/>
      <c r="B384" s="37">
        <v>5.7730365786720634</v>
      </c>
      <c r="C384" s="9" t="s">
        <v>93</v>
      </c>
      <c r="D384" s="37">
        <v>592975.26611804473</v>
      </c>
      <c r="E384" s="9">
        <v>0.14000000000000001</v>
      </c>
      <c r="F384" s="9">
        <v>253.28</v>
      </c>
      <c r="G384" s="9">
        <v>0</v>
      </c>
      <c r="H384" s="9">
        <v>1</v>
      </c>
      <c r="I384" s="9">
        <v>-1.03</v>
      </c>
      <c r="J384" s="9">
        <v>1</v>
      </c>
      <c r="K384" s="9">
        <v>1.72</v>
      </c>
      <c r="L384" s="38">
        <v>2.4149733479708178</v>
      </c>
      <c r="M384" s="9">
        <v>1260</v>
      </c>
      <c r="N384" s="9">
        <v>6.3</v>
      </c>
      <c r="O384" s="9">
        <v>3.9</v>
      </c>
      <c r="P384" s="41">
        <v>11</v>
      </c>
    </row>
    <row r="385" spans="1:16" x14ac:dyDescent="0.3">
      <c r="A385" s="9"/>
      <c r="B385" s="37">
        <v>4.131732913737455</v>
      </c>
      <c r="C385" s="9" t="s">
        <v>113</v>
      </c>
      <c r="D385" s="37">
        <v>13543.562421987379</v>
      </c>
      <c r="E385" s="9">
        <v>-2.54</v>
      </c>
      <c r="F385" s="9">
        <v>130.25</v>
      </c>
      <c r="G385" s="9">
        <v>1</v>
      </c>
      <c r="H385" s="9">
        <v>0</v>
      </c>
      <c r="I385" s="39">
        <v>0.45024910831936105</v>
      </c>
      <c r="J385" s="9">
        <v>0</v>
      </c>
      <c r="K385" s="9">
        <v>1.36</v>
      </c>
      <c r="L385" s="38">
        <v>1.9590413923210936</v>
      </c>
      <c r="M385" s="9">
        <v>1260</v>
      </c>
      <c r="N385" s="9">
        <v>6.3</v>
      </c>
      <c r="O385" s="9">
        <v>3.9</v>
      </c>
      <c r="P385" s="41">
        <v>11</v>
      </c>
    </row>
    <row r="386" spans="1:16" x14ac:dyDescent="0.3">
      <c r="A386" s="9"/>
      <c r="B386" s="37">
        <v>5.4135966712478503</v>
      </c>
      <c r="C386" s="9" t="s">
        <v>114</v>
      </c>
      <c r="D386" s="37">
        <v>259177.1269299649</v>
      </c>
      <c r="E386" s="9">
        <v>0.24</v>
      </c>
      <c r="F386" s="9">
        <v>263.38</v>
      </c>
      <c r="G386" s="9">
        <v>1</v>
      </c>
      <c r="H386" s="9">
        <v>0</v>
      </c>
      <c r="I386" s="9">
        <v>-0.16</v>
      </c>
      <c r="J386" s="9">
        <v>1</v>
      </c>
      <c r="K386" s="9">
        <v>2.23</v>
      </c>
      <c r="L386" s="38">
        <v>2.6901960800285138</v>
      </c>
      <c r="M386" s="9">
        <v>1260</v>
      </c>
      <c r="N386" s="9">
        <v>6.3</v>
      </c>
      <c r="O386" s="9">
        <v>3.9</v>
      </c>
      <c r="P386" s="41">
        <v>11</v>
      </c>
    </row>
    <row r="387" spans="1:16" x14ac:dyDescent="0.3">
      <c r="A387" s="9"/>
      <c r="B387" s="37">
        <v>4.3299716848994514</v>
      </c>
      <c r="C387" s="9" t="s">
        <v>115</v>
      </c>
      <c r="D387" s="37">
        <v>21378.227033468298</v>
      </c>
      <c r="E387" s="9">
        <v>1.18</v>
      </c>
      <c r="F387" s="9">
        <v>182.15600000000001</v>
      </c>
      <c r="G387" s="9">
        <v>0</v>
      </c>
      <c r="H387" s="9">
        <v>0</v>
      </c>
      <c r="I387" s="9">
        <v>-1.21</v>
      </c>
      <c r="J387" s="9">
        <v>0</v>
      </c>
      <c r="K387" s="38">
        <v>1.3934</v>
      </c>
      <c r="L387" s="38">
        <v>1.8129133566428555</v>
      </c>
      <c r="M387" s="9">
        <v>1260</v>
      </c>
      <c r="N387" s="9">
        <v>6.3</v>
      </c>
      <c r="O387" s="9">
        <v>3.9</v>
      </c>
      <c r="P387" s="41">
        <v>11</v>
      </c>
    </row>
    <row r="388" spans="1:16" x14ac:dyDescent="0.3">
      <c r="A388" s="9"/>
      <c r="B388" s="37">
        <v>6.1914178166781078</v>
      </c>
      <c r="C388" s="9" t="s">
        <v>100</v>
      </c>
      <c r="D388" s="37">
        <v>1553881.2156472078</v>
      </c>
      <c r="E388" s="9">
        <v>1.03</v>
      </c>
      <c r="F388" s="9">
        <v>211.268</v>
      </c>
      <c r="G388" s="9">
        <v>1</v>
      </c>
      <c r="H388" s="9">
        <v>0</v>
      </c>
      <c r="I388" s="9">
        <v>-3.6</v>
      </c>
      <c r="J388" s="9">
        <v>2</v>
      </c>
      <c r="K388" s="38">
        <v>1.7215</v>
      </c>
      <c r="L388" s="38">
        <v>3.220108088040055</v>
      </c>
      <c r="M388" s="9">
        <v>1255</v>
      </c>
      <c r="N388" s="9">
        <v>9.5</v>
      </c>
      <c r="O388" s="9">
        <v>1.4</v>
      </c>
      <c r="P388" s="41">
        <v>11</v>
      </c>
    </row>
    <row r="389" spans="1:16" x14ac:dyDescent="0.3">
      <c r="A389" s="9"/>
      <c r="B389" s="37">
        <v>5.2143137100380583</v>
      </c>
      <c r="C389" s="9" t="s">
        <v>101</v>
      </c>
      <c r="D389" s="37">
        <v>163799.92932473851</v>
      </c>
      <c r="E389" s="9">
        <v>1.29</v>
      </c>
      <c r="F389" s="9">
        <v>119.127</v>
      </c>
      <c r="G389" s="9">
        <v>0</v>
      </c>
      <c r="H389" s="9">
        <v>0</v>
      </c>
      <c r="I389" s="9">
        <v>-1.21</v>
      </c>
      <c r="J389" s="9">
        <v>1</v>
      </c>
      <c r="K389" s="39">
        <v>0.86419999999999997</v>
      </c>
      <c r="L389" s="38">
        <v>2.173186268412274</v>
      </c>
      <c r="M389" s="9">
        <v>1255</v>
      </c>
      <c r="N389" s="9">
        <v>9.5</v>
      </c>
      <c r="O389" s="9">
        <v>1.4</v>
      </c>
      <c r="P389" s="41">
        <v>11</v>
      </c>
    </row>
    <row r="390" spans="1:16" x14ac:dyDescent="0.3">
      <c r="A390" s="9"/>
      <c r="B390" s="37">
        <v>5.2044365325591828</v>
      </c>
      <c r="C390" s="9" t="s">
        <v>102</v>
      </c>
      <c r="D390" s="37">
        <v>160116.66380612142</v>
      </c>
      <c r="E390" s="9">
        <v>-0.4</v>
      </c>
      <c r="F390" s="9">
        <v>215.24</v>
      </c>
      <c r="G390" s="9">
        <v>0</v>
      </c>
      <c r="H390" s="9">
        <v>1</v>
      </c>
      <c r="I390" s="9">
        <v>-2.37</v>
      </c>
      <c r="J390" s="9">
        <v>1</v>
      </c>
      <c r="K390" s="38">
        <v>1.3086</v>
      </c>
      <c r="L390" s="38">
        <v>1.7781512503836436</v>
      </c>
      <c r="M390" s="9">
        <v>1255</v>
      </c>
      <c r="N390" s="9">
        <v>9.5</v>
      </c>
      <c r="O390" s="9">
        <v>1.4</v>
      </c>
      <c r="P390" s="41">
        <v>11</v>
      </c>
    </row>
    <row r="391" spans="1:16" x14ac:dyDescent="0.3">
      <c r="A391" s="9"/>
      <c r="B391" s="37">
        <v>6.1490787316259272</v>
      </c>
      <c r="C391" s="9" t="s">
        <v>103</v>
      </c>
      <c r="D391" s="37">
        <v>1409544.306288301</v>
      </c>
      <c r="E391" s="9">
        <v>-0.23</v>
      </c>
      <c r="F391" s="9">
        <v>208.23</v>
      </c>
      <c r="G391" s="9">
        <v>0</v>
      </c>
      <c r="H391" s="9">
        <v>1</v>
      </c>
      <c r="I391" s="9">
        <v>-3.01</v>
      </c>
      <c r="J391" s="9">
        <v>2</v>
      </c>
      <c r="K391" s="9">
        <v>1.425</v>
      </c>
      <c r="L391" s="38">
        <v>2.0413926851582249</v>
      </c>
      <c r="M391" s="9">
        <v>1255</v>
      </c>
      <c r="N391" s="9">
        <v>9.5</v>
      </c>
      <c r="O391" s="9">
        <v>1.4</v>
      </c>
      <c r="P391" s="41">
        <v>11</v>
      </c>
    </row>
    <row r="392" spans="1:16" x14ac:dyDescent="0.3">
      <c r="A392" s="9"/>
      <c r="B392" s="37">
        <v>5.7820401938749528</v>
      </c>
      <c r="C392" s="9" t="s">
        <v>104</v>
      </c>
      <c r="D392" s="37">
        <v>605396.90153386805</v>
      </c>
      <c r="E392" s="9">
        <v>1.83</v>
      </c>
      <c r="F392" s="9">
        <v>145.161</v>
      </c>
      <c r="G392" s="9">
        <v>0</v>
      </c>
      <c r="H392" s="9">
        <v>0</v>
      </c>
      <c r="I392" s="9">
        <v>-1.55</v>
      </c>
      <c r="J392" s="9">
        <v>2</v>
      </c>
      <c r="K392" s="9">
        <v>1.103</v>
      </c>
      <c r="L392" s="38">
        <v>3.3053513694466239</v>
      </c>
      <c r="M392" s="9">
        <v>1255</v>
      </c>
      <c r="N392" s="9">
        <v>9.5</v>
      </c>
      <c r="O392" s="9">
        <v>1.4</v>
      </c>
      <c r="P392" s="41">
        <v>11</v>
      </c>
    </row>
    <row r="393" spans="1:16" x14ac:dyDescent="0.3">
      <c r="A393" s="9"/>
      <c r="B393" s="37">
        <v>5.3122127475470853</v>
      </c>
      <c r="C393" s="9" t="s">
        <v>105</v>
      </c>
      <c r="D393" s="37">
        <v>205216.722641973</v>
      </c>
      <c r="E393" s="9">
        <v>1.35</v>
      </c>
      <c r="F393" s="9">
        <v>139.11000000000001</v>
      </c>
      <c r="G393" s="9">
        <v>0</v>
      </c>
      <c r="H393" s="9">
        <v>1</v>
      </c>
      <c r="I393" s="9">
        <v>-1.43</v>
      </c>
      <c r="J393" s="9">
        <v>1</v>
      </c>
      <c r="K393" s="39">
        <v>0.94930000000000003</v>
      </c>
      <c r="L393" s="38">
        <v>2.4623979978989561</v>
      </c>
      <c r="M393" s="9">
        <v>1255</v>
      </c>
      <c r="N393" s="9">
        <v>9.5</v>
      </c>
      <c r="O393" s="9">
        <v>1.4</v>
      </c>
      <c r="P393" s="41">
        <v>11</v>
      </c>
    </row>
    <row r="394" spans="1:16" x14ac:dyDescent="0.3">
      <c r="A394" s="9"/>
      <c r="B394" s="37">
        <v>5.3985940088461462</v>
      </c>
      <c r="C394" s="9" t="s">
        <v>98</v>
      </c>
      <c r="D394" s="37">
        <v>250376.75636875408</v>
      </c>
      <c r="E394" s="9">
        <v>-1.49</v>
      </c>
      <c r="F394" s="9">
        <v>163.15</v>
      </c>
      <c r="G394" s="9">
        <v>0</v>
      </c>
      <c r="H394" s="9">
        <v>1</v>
      </c>
      <c r="I394" s="9">
        <v>1.22</v>
      </c>
      <c r="J394" s="9">
        <v>0</v>
      </c>
      <c r="K394" s="39">
        <v>0.97570000000000001</v>
      </c>
      <c r="L394" s="38">
        <v>0.62324929039790045</v>
      </c>
      <c r="M394" s="9">
        <v>1255</v>
      </c>
      <c r="N394" s="9">
        <v>9.5</v>
      </c>
      <c r="O394" s="9">
        <v>1.4</v>
      </c>
      <c r="P394" s="41">
        <v>11</v>
      </c>
    </row>
    <row r="395" spans="1:16" x14ac:dyDescent="0.3">
      <c r="A395" s="9"/>
      <c r="B395" s="37">
        <v>6.4883388893795582</v>
      </c>
      <c r="C395" s="9" t="s">
        <v>107</v>
      </c>
      <c r="D395" s="37">
        <v>3078498.0963962949</v>
      </c>
      <c r="E395" s="9">
        <v>1.8</v>
      </c>
      <c r="F395" s="9">
        <v>191.19</v>
      </c>
      <c r="G395" s="9">
        <v>1</v>
      </c>
      <c r="H395" s="9">
        <v>0</v>
      </c>
      <c r="I395" s="9">
        <v>-2.65</v>
      </c>
      <c r="J395" s="9">
        <v>1</v>
      </c>
      <c r="K395" s="38">
        <v>1.3613</v>
      </c>
      <c r="L395" s="38">
        <v>2.6020599913279625</v>
      </c>
      <c r="M395" s="9">
        <v>1255</v>
      </c>
      <c r="N395" s="9">
        <v>9.5</v>
      </c>
      <c r="O395" s="9">
        <v>1.4</v>
      </c>
      <c r="P395" s="41">
        <v>11</v>
      </c>
    </row>
    <row r="396" spans="1:16" x14ac:dyDescent="0.3">
      <c r="A396" s="9"/>
      <c r="B396" s="37">
        <v>5.7392625329124352</v>
      </c>
      <c r="C396" s="9" t="s">
        <v>94</v>
      </c>
      <c r="D396" s="37">
        <v>548608.5009398344</v>
      </c>
      <c r="E396" s="9">
        <v>-0.86</v>
      </c>
      <c r="F396" s="9">
        <v>331.34699999999998</v>
      </c>
      <c r="G396" s="9">
        <v>1</v>
      </c>
      <c r="H396" s="9">
        <v>1</v>
      </c>
      <c r="I396" s="9">
        <v>-2.27</v>
      </c>
      <c r="J396" s="9">
        <v>1</v>
      </c>
      <c r="K396" s="38">
        <v>2.3047</v>
      </c>
      <c r="L396" s="38">
        <v>1.550228353055094</v>
      </c>
      <c r="M396" s="9">
        <v>1255</v>
      </c>
      <c r="N396" s="9">
        <v>9.5</v>
      </c>
      <c r="O396" s="9">
        <v>1.4</v>
      </c>
      <c r="P396" s="41">
        <v>11</v>
      </c>
    </row>
    <row r="397" spans="1:16" x14ac:dyDescent="0.3">
      <c r="A397" s="9"/>
      <c r="B397" s="37">
        <v>3.5552472994325965</v>
      </c>
      <c r="C397" s="9" t="s">
        <v>108</v>
      </c>
      <c r="D397" s="37">
        <v>3591.263730406893</v>
      </c>
      <c r="E397" s="9">
        <v>-1.72</v>
      </c>
      <c r="F397" s="9">
        <v>99.177000000000007</v>
      </c>
      <c r="G397" s="9">
        <v>1</v>
      </c>
      <c r="H397" s="9">
        <v>0</v>
      </c>
      <c r="I397" s="9">
        <v>1.03</v>
      </c>
      <c r="J397" s="9">
        <v>0</v>
      </c>
      <c r="K397" s="39">
        <v>0.94520000000000004</v>
      </c>
      <c r="L397" s="38">
        <v>2.1583624920952498</v>
      </c>
      <c r="M397" s="9">
        <v>1255</v>
      </c>
      <c r="N397" s="9">
        <v>9.5</v>
      </c>
      <c r="O397" s="9">
        <v>1.4</v>
      </c>
      <c r="P397" s="41">
        <v>11</v>
      </c>
    </row>
    <row r="398" spans="1:16" x14ac:dyDescent="0.3">
      <c r="A398" s="9"/>
      <c r="B398" s="37">
        <v>5.8128741575817768</v>
      </c>
      <c r="C398" s="9" t="s">
        <v>109</v>
      </c>
      <c r="D398" s="37">
        <v>649941.33418469992</v>
      </c>
      <c r="E398" s="9">
        <v>2.69</v>
      </c>
      <c r="F398" s="9">
        <v>222.24</v>
      </c>
      <c r="G398" s="9">
        <v>0</v>
      </c>
      <c r="H398" s="9">
        <v>0</v>
      </c>
      <c r="I398" s="9">
        <v>-2.72</v>
      </c>
      <c r="J398" s="9">
        <v>1</v>
      </c>
      <c r="K398" s="38">
        <v>1.7105999999999999</v>
      </c>
      <c r="L398" s="38">
        <v>2.0211892990699383</v>
      </c>
      <c r="M398" s="9">
        <v>1255</v>
      </c>
      <c r="N398" s="9">
        <v>9.5</v>
      </c>
      <c r="O398" s="9">
        <v>1.4</v>
      </c>
      <c r="P398" s="41">
        <v>11</v>
      </c>
    </row>
    <row r="399" spans="1:16" x14ac:dyDescent="0.3">
      <c r="A399" s="9"/>
      <c r="B399" s="37">
        <v>4.6826070838900815</v>
      </c>
      <c r="C399" s="9" t="s">
        <v>99</v>
      </c>
      <c r="D399" s="37">
        <v>48151.196565833379</v>
      </c>
      <c r="E399" s="9">
        <v>-1.27</v>
      </c>
      <c r="F399" s="9">
        <v>171.24</v>
      </c>
      <c r="G399" s="9">
        <v>1</v>
      </c>
      <c r="H399" s="9">
        <v>1</v>
      </c>
      <c r="I399" s="9">
        <v>-1.1200000000000001</v>
      </c>
      <c r="J399" s="9">
        <v>0</v>
      </c>
      <c r="K399" s="38">
        <v>1.4422999999999999</v>
      </c>
      <c r="L399" s="38">
        <v>1.7708520116421442</v>
      </c>
      <c r="M399" s="9">
        <v>1255</v>
      </c>
      <c r="N399" s="9">
        <v>9.5</v>
      </c>
      <c r="O399" s="9">
        <v>1.4</v>
      </c>
      <c r="P399" s="41">
        <v>11</v>
      </c>
    </row>
    <row r="400" spans="1:16" x14ac:dyDescent="0.3">
      <c r="A400" s="9"/>
      <c r="B400" s="37">
        <v>5.1808657853992441</v>
      </c>
      <c r="C400" s="9" t="s">
        <v>110</v>
      </c>
      <c r="D400" s="37">
        <v>151658.16098324291</v>
      </c>
      <c r="E400" s="9">
        <v>-3.93</v>
      </c>
      <c r="F400" s="9">
        <v>102.09699999999999</v>
      </c>
      <c r="G400" s="9">
        <v>1</v>
      </c>
      <c r="H400" s="9">
        <v>0</v>
      </c>
      <c r="I400" s="9">
        <v>2.2799999999999998</v>
      </c>
      <c r="J400" s="9">
        <v>0</v>
      </c>
      <c r="K400" s="39">
        <v>0.76229999999999998</v>
      </c>
      <c r="L400" s="38">
        <v>1.8000293592441343</v>
      </c>
      <c r="M400" s="9">
        <v>1255</v>
      </c>
      <c r="N400" s="9">
        <v>9.5</v>
      </c>
      <c r="O400" s="9">
        <v>1.4</v>
      </c>
      <c r="P400" s="41">
        <v>11</v>
      </c>
    </row>
    <row r="401" spans="1:16" x14ac:dyDescent="0.3">
      <c r="A401" s="9"/>
      <c r="B401" s="37">
        <v>6.1633249929311775</v>
      </c>
      <c r="C401" s="9" t="s">
        <v>111</v>
      </c>
      <c r="D401" s="37">
        <v>1456548.642988313</v>
      </c>
      <c r="E401" s="9">
        <v>-0.25</v>
      </c>
      <c r="F401" s="9">
        <v>214.65</v>
      </c>
      <c r="G401" s="9">
        <v>0</v>
      </c>
      <c r="H401" s="9">
        <v>1</v>
      </c>
      <c r="I401" s="9">
        <v>-2.95</v>
      </c>
      <c r="J401" s="9">
        <v>1</v>
      </c>
      <c r="K401" s="38">
        <v>1.5355000000000001</v>
      </c>
      <c r="L401" s="38">
        <v>1.6839471307515121</v>
      </c>
      <c r="M401" s="9">
        <v>1255</v>
      </c>
      <c r="N401" s="9">
        <v>9.5</v>
      </c>
      <c r="O401" s="9">
        <v>1.4</v>
      </c>
      <c r="P401" s="41">
        <v>11</v>
      </c>
    </row>
    <row r="402" spans="1:16" x14ac:dyDescent="0.3">
      <c r="A402" s="9"/>
      <c r="B402" s="37">
        <v>7.2134050719312102</v>
      </c>
      <c r="C402" s="9" t="s">
        <v>112</v>
      </c>
      <c r="D402" s="37">
        <v>16345758.265668411</v>
      </c>
      <c r="E402" s="9">
        <v>0.17</v>
      </c>
      <c r="F402" s="9">
        <v>375.48</v>
      </c>
      <c r="G402" s="9">
        <v>1</v>
      </c>
      <c r="H402" s="9">
        <v>0</v>
      </c>
      <c r="I402" s="9">
        <v>-1.45</v>
      </c>
      <c r="J402" s="9">
        <v>1</v>
      </c>
      <c r="K402" s="38">
        <v>2.9611999999999998</v>
      </c>
      <c r="L402" s="38">
        <v>3.9500239065233265</v>
      </c>
      <c r="M402" s="9">
        <v>1255</v>
      </c>
      <c r="N402" s="9">
        <v>9.5</v>
      </c>
      <c r="O402" s="9">
        <v>1.4</v>
      </c>
      <c r="P402" s="41">
        <v>11</v>
      </c>
    </row>
    <row r="403" spans="1:16" x14ac:dyDescent="0.3">
      <c r="A403" s="9"/>
      <c r="B403" s="37">
        <v>6.1996004436401844</v>
      </c>
      <c r="C403" s="9" t="s">
        <v>93</v>
      </c>
      <c r="D403" s="37">
        <v>1583435.74142388</v>
      </c>
      <c r="E403" s="9">
        <v>0.14000000000000001</v>
      </c>
      <c r="F403" s="9">
        <v>253.28</v>
      </c>
      <c r="G403" s="9">
        <v>0</v>
      </c>
      <c r="H403" s="9">
        <v>1</v>
      </c>
      <c r="I403" s="9">
        <v>-1.03</v>
      </c>
      <c r="J403" s="9">
        <v>1</v>
      </c>
      <c r="K403" s="9">
        <v>1.72</v>
      </c>
      <c r="L403" s="38">
        <v>2.4149733479708178</v>
      </c>
      <c r="M403" s="9">
        <v>1255</v>
      </c>
      <c r="N403" s="9">
        <v>9.5</v>
      </c>
      <c r="O403" s="9">
        <v>1.4</v>
      </c>
      <c r="P403" s="41">
        <v>11</v>
      </c>
    </row>
    <row r="404" spans="1:16" x14ac:dyDescent="0.3">
      <c r="A404" s="9"/>
      <c r="B404" s="37">
        <v>3.6056371924026678</v>
      </c>
      <c r="C404" s="9" t="s">
        <v>113</v>
      </c>
      <c r="D404" s="37">
        <v>4033.0833028702173</v>
      </c>
      <c r="E404" s="9">
        <v>-2.54</v>
      </c>
      <c r="F404" s="9">
        <v>130.25</v>
      </c>
      <c r="G404" s="9">
        <v>1</v>
      </c>
      <c r="H404" s="9">
        <v>0</v>
      </c>
      <c r="I404" s="39">
        <v>0.45024910831936105</v>
      </c>
      <c r="J404" s="9">
        <v>0</v>
      </c>
      <c r="K404" s="9">
        <v>1.36</v>
      </c>
      <c r="L404" s="38">
        <v>1.9590413923210936</v>
      </c>
      <c r="M404" s="9">
        <v>1255</v>
      </c>
      <c r="N404" s="9">
        <v>9.5</v>
      </c>
      <c r="O404" s="9">
        <v>1.4</v>
      </c>
      <c r="P404" s="41">
        <v>11</v>
      </c>
    </row>
    <row r="405" spans="1:16" x14ac:dyDescent="0.3">
      <c r="A405" s="9"/>
      <c r="B405" s="37">
        <v>6.5325865353250396</v>
      </c>
      <c r="C405" s="9" t="s">
        <v>114</v>
      </c>
      <c r="D405" s="37">
        <v>3408682.3771762429</v>
      </c>
      <c r="E405" s="9">
        <v>0.24</v>
      </c>
      <c r="F405" s="9">
        <v>263.38</v>
      </c>
      <c r="G405" s="9">
        <v>1</v>
      </c>
      <c r="H405" s="9">
        <v>0</v>
      </c>
      <c r="I405" s="9">
        <v>-0.16</v>
      </c>
      <c r="J405" s="9">
        <v>1</v>
      </c>
      <c r="K405" s="9">
        <v>2.23</v>
      </c>
      <c r="L405" s="38">
        <v>2.6901960800285138</v>
      </c>
      <c r="M405" s="9">
        <v>1255</v>
      </c>
      <c r="N405" s="9">
        <v>9.5</v>
      </c>
      <c r="O405" s="9">
        <v>1.4</v>
      </c>
      <c r="P405" s="41">
        <v>11</v>
      </c>
    </row>
    <row r="406" spans="1:16" x14ac:dyDescent="0.3">
      <c r="A406" s="9"/>
      <c r="B406" s="37">
        <v>5.3556901965565009</v>
      </c>
      <c r="C406" s="9" t="s">
        <v>115</v>
      </c>
      <c r="D406" s="37">
        <v>226824.6223928328</v>
      </c>
      <c r="E406" s="9">
        <v>1.18</v>
      </c>
      <c r="F406" s="9">
        <v>182.15600000000001</v>
      </c>
      <c r="G406" s="9">
        <v>0</v>
      </c>
      <c r="H406" s="9">
        <v>0</v>
      </c>
      <c r="I406" s="9">
        <v>-1.21</v>
      </c>
      <c r="J406" s="9">
        <v>0</v>
      </c>
      <c r="K406" s="38">
        <v>1.3934</v>
      </c>
      <c r="L406" s="38">
        <v>1.8129133566428555</v>
      </c>
      <c r="M406" s="9">
        <v>1255</v>
      </c>
      <c r="N406" s="9">
        <v>9.5</v>
      </c>
      <c r="O406" s="9">
        <v>1.4</v>
      </c>
      <c r="P406" s="41">
        <v>11</v>
      </c>
    </row>
    <row r="407" spans="1:16" x14ac:dyDescent="0.3">
      <c r="A407" s="9"/>
      <c r="B407" s="37">
        <v>5.7284747090965933</v>
      </c>
      <c r="C407" s="9" t="s">
        <v>100</v>
      </c>
      <c r="D407" s="37">
        <v>535148.98875299003</v>
      </c>
      <c r="E407" s="9">
        <v>1.03</v>
      </c>
      <c r="F407" s="9">
        <v>211.268</v>
      </c>
      <c r="G407" s="9">
        <v>1</v>
      </c>
      <c r="H407" s="9">
        <v>0</v>
      </c>
      <c r="I407" s="9">
        <v>-3.6</v>
      </c>
      <c r="J407" s="9">
        <v>2</v>
      </c>
      <c r="K407" s="38">
        <v>1.7215</v>
      </c>
      <c r="L407" s="38">
        <v>3.220108088040055</v>
      </c>
      <c r="M407" s="9">
        <v>1200</v>
      </c>
      <c r="N407" s="9">
        <v>2.7</v>
      </c>
      <c r="O407" s="9">
        <v>9.1999999999999993</v>
      </c>
      <c r="P407" s="41">
        <v>11</v>
      </c>
    </row>
    <row r="408" spans="1:16" x14ac:dyDescent="0.3">
      <c r="A408" s="9"/>
      <c r="B408" s="37">
        <v>4.6380371936720044</v>
      </c>
      <c r="C408" s="9" t="s">
        <v>101</v>
      </c>
      <c r="D408" s="37">
        <v>43454.743791358676</v>
      </c>
      <c r="E408" s="9">
        <v>1.29</v>
      </c>
      <c r="F408" s="9">
        <v>119.127</v>
      </c>
      <c r="G408" s="9">
        <v>0</v>
      </c>
      <c r="H408" s="9">
        <v>0</v>
      </c>
      <c r="I408" s="9">
        <v>-1.21</v>
      </c>
      <c r="J408" s="9">
        <v>1</v>
      </c>
      <c r="K408" s="39">
        <v>0.86419999999999997</v>
      </c>
      <c r="L408" s="38">
        <v>2.173186268412274</v>
      </c>
      <c r="M408" s="9">
        <v>1200</v>
      </c>
      <c r="N408" s="9">
        <v>2.7</v>
      </c>
      <c r="O408" s="9">
        <v>9.1999999999999993</v>
      </c>
      <c r="P408" s="41">
        <v>11</v>
      </c>
    </row>
    <row r="409" spans="1:16" x14ac:dyDescent="0.3">
      <c r="A409" s="9"/>
      <c r="B409" s="37">
        <v>3.8221674683275824</v>
      </c>
      <c r="C409" s="9" t="s">
        <v>102</v>
      </c>
      <c r="D409" s="37">
        <v>6639.9906577085285</v>
      </c>
      <c r="E409" s="9">
        <v>-0.4</v>
      </c>
      <c r="F409" s="9">
        <v>215.24</v>
      </c>
      <c r="G409" s="9">
        <v>0</v>
      </c>
      <c r="H409" s="9">
        <v>1</v>
      </c>
      <c r="I409" s="9">
        <v>-2.37</v>
      </c>
      <c r="J409" s="9">
        <v>1</v>
      </c>
      <c r="K409" s="38">
        <v>1.3086</v>
      </c>
      <c r="L409" s="38">
        <v>1.7781512503836436</v>
      </c>
      <c r="M409" s="9">
        <v>1200</v>
      </c>
      <c r="N409" s="9">
        <v>2.7</v>
      </c>
      <c r="O409" s="9">
        <v>9.1999999999999993</v>
      </c>
      <c r="P409" s="41">
        <v>11</v>
      </c>
    </row>
    <row r="410" spans="1:16" x14ac:dyDescent="0.3">
      <c r="A410" s="9"/>
      <c r="B410" s="37">
        <v>5.0891822891287868</v>
      </c>
      <c r="C410" s="9" t="s">
        <v>103</v>
      </c>
      <c r="D410" s="37">
        <v>122795.4540013868</v>
      </c>
      <c r="E410" s="9">
        <v>-0.23</v>
      </c>
      <c r="F410" s="9">
        <v>208.23</v>
      </c>
      <c r="G410" s="9">
        <v>0</v>
      </c>
      <c r="H410" s="9">
        <v>1</v>
      </c>
      <c r="I410" s="9">
        <v>-3.01</v>
      </c>
      <c r="J410" s="9">
        <v>2</v>
      </c>
      <c r="K410" s="38">
        <v>1.425</v>
      </c>
      <c r="L410" s="38">
        <v>2.0413926851582249</v>
      </c>
      <c r="M410" s="9">
        <v>1200</v>
      </c>
      <c r="N410" s="9">
        <v>2.7</v>
      </c>
      <c r="O410" s="9">
        <v>9.1999999999999993</v>
      </c>
      <c r="P410" s="41">
        <v>11</v>
      </c>
    </row>
    <row r="411" spans="1:16" x14ac:dyDescent="0.3">
      <c r="A411" s="9"/>
      <c r="B411" s="37">
        <v>5.5848212082570221</v>
      </c>
      <c r="C411" s="9" t="s">
        <v>104</v>
      </c>
      <c r="D411" s="37">
        <v>384433.484655432</v>
      </c>
      <c r="E411" s="9">
        <v>1.83</v>
      </c>
      <c r="F411" s="9">
        <v>145.161</v>
      </c>
      <c r="G411" s="9">
        <v>0</v>
      </c>
      <c r="H411" s="9">
        <v>0</v>
      </c>
      <c r="I411" s="9">
        <v>-1.55</v>
      </c>
      <c r="J411" s="9">
        <v>2</v>
      </c>
      <c r="K411" s="38">
        <v>1.103</v>
      </c>
      <c r="L411" s="38">
        <v>3.3053513694466239</v>
      </c>
      <c r="M411" s="9">
        <v>1200</v>
      </c>
      <c r="N411" s="9">
        <v>2.7</v>
      </c>
      <c r="O411" s="9">
        <v>9.1999999999999993</v>
      </c>
      <c r="P411" s="41">
        <v>11</v>
      </c>
    </row>
    <row r="412" spans="1:16" x14ac:dyDescent="0.3">
      <c r="A412" s="9"/>
      <c r="B412" s="37">
        <v>5.446920765511881</v>
      </c>
      <c r="C412" s="9" t="s">
        <v>105</v>
      </c>
      <c r="D412" s="37">
        <v>279847.07084437215</v>
      </c>
      <c r="E412" s="9">
        <v>1.35</v>
      </c>
      <c r="F412" s="9">
        <v>139.11000000000001</v>
      </c>
      <c r="G412" s="9">
        <v>0</v>
      </c>
      <c r="H412" s="9">
        <v>1</v>
      </c>
      <c r="I412" s="9">
        <v>-1.43</v>
      </c>
      <c r="J412" s="9">
        <v>1</v>
      </c>
      <c r="K412" s="39">
        <v>0.94930000000000003</v>
      </c>
      <c r="L412" s="38">
        <v>2.4623979978989561</v>
      </c>
      <c r="M412" s="9">
        <v>1200</v>
      </c>
      <c r="N412" s="9">
        <v>2.7</v>
      </c>
      <c r="O412" s="9">
        <v>9.1999999999999993</v>
      </c>
      <c r="P412" s="41">
        <v>11</v>
      </c>
    </row>
    <row r="413" spans="1:16" x14ac:dyDescent="0.3">
      <c r="A413" s="9"/>
      <c r="B413" s="37">
        <v>3.1247933574199069</v>
      </c>
      <c r="C413" s="9" t="s">
        <v>98</v>
      </c>
      <c r="D413" s="37">
        <v>1332.8870774264251</v>
      </c>
      <c r="E413" s="9">
        <v>-1.49</v>
      </c>
      <c r="F413" s="9">
        <v>163.15</v>
      </c>
      <c r="G413" s="9">
        <v>0</v>
      </c>
      <c r="H413" s="9">
        <v>1</v>
      </c>
      <c r="I413" s="9">
        <v>1.22</v>
      </c>
      <c r="J413" s="9">
        <v>0</v>
      </c>
      <c r="K413" s="39">
        <v>0.97570000000000001</v>
      </c>
      <c r="L413" s="38">
        <v>0.62324929039790045</v>
      </c>
      <c r="M413" s="9">
        <v>1200</v>
      </c>
      <c r="N413" s="9">
        <v>2.7</v>
      </c>
      <c r="O413" s="9">
        <v>9.1999999999999993</v>
      </c>
      <c r="P413" s="41">
        <v>11</v>
      </c>
    </row>
    <row r="414" spans="1:16" x14ac:dyDescent="0.3">
      <c r="A414" s="9"/>
      <c r="B414" s="37">
        <v>6.5016919935622521</v>
      </c>
      <c r="C414" s="9" t="s">
        <v>107</v>
      </c>
      <c r="D414" s="37">
        <v>3174621.7952749347</v>
      </c>
      <c r="E414" s="9">
        <v>1.8</v>
      </c>
      <c r="F414" s="9">
        <v>191.19</v>
      </c>
      <c r="G414" s="9">
        <v>1</v>
      </c>
      <c r="H414" s="9">
        <v>0</v>
      </c>
      <c r="I414" s="9">
        <v>-2.65</v>
      </c>
      <c r="J414" s="9">
        <v>1</v>
      </c>
      <c r="K414" s="38">
        <v>1.3613</v>
      </c>
      <c r="L414" s="38">
        <v>2.6020599913279625</v>
      </c>
      <c r="M414" s="9">
        <v>1200</v>
      </c>
      <c r="N414" s="9">
        <v>2.7</v>
      </c>
      <c r="O414" s="9">
        <v>9.1999999999999993</v>
      </c>
      <c r="P414" s="41">
        <v>11</v>
      </c>
    </row>
    <row r="415" spans="1:16" x14ac:dyDescent="0.3">
      <c r="A415" s="9"/>
      <c r="B415" s="37">
        <v>5.2673625132672734</v>
      </c>
      <c r="C415" s="9" t="s">
        <v>94</v>
      </c>
      <c r="D415" s="37">
        <v>185081.28805466471</v>
      </c>
      <c r="E415" s="9">
        <v>-0.86</v>
      </c>
      <c r="F415" s="9">
        <v>331.34699999999998</v>
      </c>
      <c r="G415" s="9">
        <v>1</v>
      </c>
      <c r="H415" s="9">
        <v>1</v>
      </c>
      <c r="I415" s="9">
        <v>-2.27</v>
      </c>
      <c r="J415" s="9">
        <v>1</v>
      </c>
      <c r="K415" s="38">
        <v>2.3047</v>
      </c>
      <c r="L415" s="38">
        <v>1.550228353055094</v>
      </c>
      <c r="M415" s="9">
        <v>1200</v>
      </c>
      <c r="N415" s="9">
        <v>2.7</v>
      </c>
      <c r="O415" s="9">
        <v>9.1999999999999993</v>
      </c>
      <c r="P415" s="41">
        <v>11</v>
      </c>
    </row>
    <row r="416" spans="1:16" x14ac:dyDescent="0.3">
      <c r="A416" s="9"/>
      <c r="B416" s="37">
        <v>3.002171274823259</v>
      </c>
      <c r="C416" s="9" t="s">
        <v>108</v>
      </c>
      <c r="D416" s="37">
        <v>1005.012063619842</v>
      </c>
      <c r="E416" s="9">
        <v>-1.72</v>
      </c>
      <c r="F416" s="9">
        <v>99.177000000000007</v>
      </c>
      <c r="G416" s="9">
        <v>1</v>
      </c>
      <c r="H416" s="9">
        <v>0</v>
      </c>
      <c r="I416" s="9">
        <v>1.03</v>
      </c>
      <c r="J416" s="9">
        <v>0</v>
      </c>
      <c r="K416" s="39">
        <v>0.94520000000000004</v>
      </c>
      <c r="L416" s="38">
        <v>2.1583624920952498</v>
      </c>
      <c r="M416" s="9">
        <v>1200</v>
      </c>
      <c r="N416" s="9">
        <v>2.7</v>
      </c>
      <c r="O416" s="9">
        <v>9.1999999999999993</v>
      </c>
      <c r="P416" s="41">
        <v>11</v>
      </c>
    </row>
    <row r="417" spans="1:16" x14ac:dyDescent="0.3">
      <c r="A417" s="9"/>
      <c r="B417" s="37">
        <v>5.5025888320759089</v>
      </c>
      <c r="C417" s="9" t="s">
        <v>109</v>
      </c>
      <c r="D417" s="37">
        <v>318118.43120858649</v>
      </c>
      <c r="E417" s="9">
        <v>2.69</v>
      </c>
      <c r="F417" s="9">
        <v>222.24</v>
      </c>
      <c r="G417" s="9">
        <v>0</v>
      </c>
      <c r="H417" s="9">
        <v>0</v>
      </c>
      <c r="I417" s="9">
        <v>-2.72</v>
      </c>
      <c r="J417" s="9">
        <v>1</v>
      </c>
      <c r="K417" s="38">
        <v>1.7105999999999999</v>
      </c>
      <c r="L417" s="38">
        <v>2.0211892990699383</v>
      </c>
      <c r="M417" s="9">
        <v>1200</v>
      </c>
      <c r="N417" s="9">
        <v>2.7</v>
      </c>
      <c r="O417" s="9">
        <v>9.1999999999999993</v>
      </c>
      <c r="P417" s="41">
        <v>11</v>
      </c>
    </row>
    <row r="418" spans="1:16" x14ac:dyDescent="0.3">
      <c r="A418" s="9"/>
      <c r="B418" s="37">
        <v>3.4835872969688944</v>
      </c>
      <c r="C418" s="9" t="s">
        <v>99</v>
      </c>
      <c r="D418" s="37">
        <v>3045</v>
      </c>
      <c r="E418" s="9">
        <v>-1.27</v>
      </c>
      <c r="F418" s="9">
        <v>171.24</v>
      </c>
      <c r="G418" s="9">
        <v>1</v>
      </c>
      <c r="H418" s="9">
        <v>1</v>
      </c>
      <c r="I418" s="9">
        <v>-1.1200000000000001</v>
      </c>
      <c r="J418" s="9">
        <v>0</v>
      </c>
      <c r="K418" s="38">
        <v>1.4422999999999999</v>
      </c>
      <c r="L418" s="9">
        <v>1.73</v>
      </c>
      <c r="M418" s="9">
        <v>1200</v>
      </c>
      <c r="N418" s="9">
        <v>2.7</v>
      </c>
      <c r="O418" s="9">
        <v>9.1999999999999993</v>
      </c>
      <c r="P418" s="41">
        <v>11</v>
      </c>
    </row>
    <row r="419" spans="1:16" x14ac:dyDescent="0.3">
      <c r="A419" s="9"/>
      <c r="B419" s="37">
        <v>5.4105877343209317</v>
      </c>
      <c r="C419" s="9" t="s">
        <v>110</v>
      </c>
      <c r="D419" s="37">
        <v>257387.66755092712</v>
      </c>
      <c r="E419" s="9">
        <v>-3.93</v>
      </c>
      <c r="F419" s="9">
        <v>102.09699999999999</v>
      </c>
      <c r="G419" s="9">
        <v>1</v>
      </c>
      <c r="H419" s="9">
        <v>0</v>
      </c>
      <c r="I419" s="9">
        <v>2.2799999999999998</v>
      </c>
      <c r="J419" s="9">
        <v>0</v>
      </c>
      <c r="K419" s="39">
        <v>0.76229999999999998</v>
      </c>
      <c r="L419" s="38">
        <v>1.8000293592441343</v>
      </c>
      <c r="M419" s="9">
        <v>1200</v>
      </c>
      <c r="N419" s="9">
        <v>2.7</v>
      </c>
      <c r="O419" s="9">
        <v>9.1999999999999993</v>
      </c>
      <c r="P419" s="41">
        <v>11</v>
      </c>
    </row>
    <row r="420" spans="1:16" x14ac:dyDescent="0.3">
      <c r="A420" s="9"/>
      <c r="B420" s="37">
        <v>4.4200439530996896</v>
      </c>
      <c r="C420" s="9" t="s">
        <v>111</v>
      </c>
      <c r="D420" s="37">
        <v>26305.342036166749</v>
      </c>
      <c r="E420" s="9">
        <v>-0.25</v>
      </c>
      <c r="F420" s="9">
        <v>214.65</v>
      </c>
      <c r="G420" s="9">
        <v>0</v>
      </c>
      <c r="H420" s="9">
        <v>1</v>
      </c>
      <c r="I420" s="9">
        <v>-2.95</v>
      </c>
      <c r="J420" s="9">
        <v>1</v>
      </c>
      <c r="K420" s="38">
        <v>1.5355000000000001</v>
      </c>
      <c r="L420" s="38">
        <v>1.6839471307515121</v>
      </c>
      <c r="M420" s="9">
        <v>1200</v>
      </c>
      <c r="N420" s="9">
        <v>2.7</v>
      </c>
      <c r="O420" s="9">
        <v>9.1999999999999993</v>
      </c>
      <c r="P420" s="41">
        <v>11</v>
      </c>
    </row>
    <row r="421" spans="1:16" x14ac:dyDescent="0.3">
      <c r="A421" s="9"/>
      <c r="B421" s="37">
        <v>6.4089099319496601</v>
      </c>
      <c r="C421" s="9" t="s">
        <v>112</v>
      </c>
      <c r="D421" s="37">
        <v>2563952.24498598</v>
      </c>
      <c r="E421" s="9">
        <v>0.17</v>
      </c>
      <c r="F421" s="9">
        <v>375.48</v>
      </c>
      <c r="G421" s="9">
        <v>1</v>
      </c>
      <c r="H421" s="9">
        <v>0</v>
      </c>
      <c r="I421" s="9">
        <v>-1.45</v>
      </c>
      <c r="J421" s="9">
        <v>1</v>
      </c>
      <c r="K421" s="38">
        <v>2.9611999999999998</v>
      </c>
      <c r="L421" s="38">
        <v>3.9500239065233265</v>
      </c>
      <c r="M421" s="9">
        <v>1200</v>
      </c>
      <c r="N421" s="9">
        <v>2.7</v>
      </c>
      <c r="O421" s="9">
        <v>9.1999999999999993</v>
      </c>
      <c r="P421" s="41">
        <v>11</v>
      </c>
    </row>
    <row r="422" spans="1:16" x14ac:dyDescent="0.3">
      <c r="A422" s="9"/>
      <c r="B422" s="37">
        <v>5.3441074606661303</v>
      </c>
      <c r="C422" s="9" t="s">
        <v>93</v>
      </c>
      <c r="D422" s="37">
        <v>220855.11434084369</v>
      </c>
      <c r="E422" s="9">
        <v>0.14000000000000001</v>
      </c>
      <c r="F422" s="9">
        <v>253.28</v>
      </c>
      <c r="G422" s="9">
        <v>0</v>
      </c>
      <c r="H422" s="9">
        <v>1</v>
      </c>
      <c r="I422" s="9">
        <v>-1.03</v>
      </c>
      <c r="J422" s="9">
        <v>1</v>
      </c>
      <c r="K422" s="9">
        <v>1.72</v>
      </c>
      <c r="L422" s="38">
        <v>2.4149733479708178</v>
      </c>
      <c r="M422" s="9">
        <v>1200</v>
      </c>
      <c r="N422" s="9">
        <v>2.7</v>
      </c>
      <c r="O422" s="9">
        <v>9.1999999999999993</v>
      </c>
      <c r="P422" s="41">
        <v>11</v>
      </c>
    </row>
    <row r="423" spans="1:16" x14ac:dyDescent="0.3">
      <c r="A423" s="9"/>
      <c r="B423" s="37">
        <v>3.0842811111479218</v>
      </c>
      <c r="C423" s="9" t="s">
        <v>113</v>
      </c>
      <c r="D423" s="37">
        <v>1214.174509882135</v>
      </c>
      <c r="E423" s="9">
        <v>-2.54</v>
      </c>
      <c r="F423" s="9">
        <v>130.25</v>
      </c>
      <c r="G423" s="9">
        <v>1</v>
      </c>
      <c r="H423" s="9">
        <v>0</v>
      </c>
      <c r="I423" s="39">
        <v>0.45024910831936105</v>
      </c>
      <c r="J423" s="9">
        <v>0</v>
      </c>
      <c r="K423" s="9">
        <v>1.36</v>
      </c>
      <c r="L423" s="38">
        <v>1.9590413923210936</v>
      </c>
      <c r="M423" s="9">
        <v>1200</v>
      </c>
      <c r="N423" s="9">
        <v>2.7</v>
      </c>
      <c r="O423" s="9">
        <v>9.1999999999999993</v>
      </c>
      <c r="P423" s="41">
        <v>11</v>
      </c>
    </row>
    <row r="424" spans="1:16" x14ac:dyDescent="0.3">
      <c r="A424" s="9"/>
      <c r="B424" s="37">
        <v>5.2856531334573758</v>
      </c>
      <c r="C424" s="9" t="s">
        <v>114</v>
      </c>
      <c r="D424" s="37">
        <v>193042.588980523</v>
      </c>
      <c r="E424" s="9">
        <v>0.24</v>
      </c>
      <c r="F424" s="9">
        <v>263.38</v>
      </c>
      <c r="G424" s="9">
        <v>1</v>
      </c>
      <c r="H424" s="9">
        <v>0</v>
      </c>
      <c r="I424" s="9">
        <v>-0.16</v>
      </c>
      <c r="J424" s="9">
        <v>1</v>
      </c>
      <c r="K424" s="9">
        <v>2.23</v>
      </c>
      <c r="L424" s="38">
        <v>2.6901960800285138</v>
      </c>
      <c r="M424" s="9">
        <v>1200</v>
      </c>
      <c r="N424" s="9">
        <v>2.7</v>
      </c>
      <c r="O424" s="9">
        <v>9.1999999999999993</v>
      </c>
      <c r="P424" s="41">
        <v>11</v>
      </c>
    </row>
    <row r="425" spans="1:16" x14ac:dyDescent="0.3">
      <c r="A425" s="9"/>
      <c r="B425" s="37">
        <v>3.985561187773345</v>
      </c>
      <c r="C425" s="9" t="s">
        <v>115</v>
      </c>
      <c r="D425" s="37">
        <v>9673</v>
      </c>
      <c r="E425" s="9">
        <v>1.18</v>
      </c>
      <c r="F425" s="9">
        <v>182.15600000000001</v>
      </c>
      <c r="G425" s="9">
        <v>0</v>
      </c>
      <c r="H425" s="9">
        <v>0</v>
      </c>
      <c r="I425" s="9">
        <v>-1.21</v>
      </c>
      <c r="J425" s="9">
        <v>0</v>
      </c>
      <c r="K425" s="38">
        <v>1.3934</v>
      </c>
      <c r="L425" s="38">
        <v>1.8129133566428555</v>
      </c>
      <c r="M425" s="9">
        <v>1200</v>
      </c>
      <c r="N425" s="9">
        <v>2.7</v>
      </c>
      <c r="O425" s="9">
        <v>9.1999999999999993</v>
      </c>
      <c r="P425" s="41">
        <v>11</v>
      </c>
    </row>
    <row r="426" spans="1:16" x14ac:dyDescent="0.3">
      <c r="A426" s="36"/>
      <c r="B426" s="37">
        <v>5.974050902792877</v>
      </c>
      <c r="C426" s="9" t="s">
        <v>73</v>
      </c>
      <c r="D426" s="37">
        <v>942000</v>
      </c>
      <c r="E426" s="9">
        <v>0.28999999999999998</v>
      </c>
      <c r="F426" s="9">
        <v>230.26</v>
      </c>
      <c r="G426" s="9">
        <v>0</v>
      </c>
      <c r="H426" s="9">
        <v>1</v>
      </c>
      <c r="I426" s="9">
        <v>-0.69</v>
      </c>
      <c r="J426" s="9">
        <v>2</v>
      </c>
      <c r="K426" s="9">
        <v>1.92</v>
      </c>
      <c r="L426" s="9">
        <v>2.5299999999999998</v>
      </c>
      <c r="M426" s="9">
        <v>1030</v>
      </c>
      <c r="N426" s="9"/>
      <c r="O426" s="9"/>
      <c r="P426" s="41">
        <v>20</v>
      </c>
    </row>
    <row r="427" spans="1:16" x14ac:dyDescent="0.3">
      <c r="A427" s="36"/>
      <c r="B427" s="37">
        <v>5.7450747915820575</v>
      </c>
      <c r="C427" s="9" t="s">
        <v>73</v>
      </c>
      <c r="D427" s="37">
        <v>556000</v>
      </c>
      <c r="E427" s="9">
        <v>0.28999999999999998</v>
      </c>
      <c r="F427" s="9">
        <v>230.26</v>
      </c>
      <c r="G427" s="9">
        <v>0</v>
      </c>
      <c r="H427" s="9">
        <v>1</v>
      </c>
      <c r="I427" s="9">
        <v>-0.69</v>
      </c>
      <c r="J427" s="9">
        <v>2</v>
      </c>
      <c r="K427" s="9">
        <v>1.92</v>
      </c>
      <c r="L427" s="9">
        <v>2.5299999999999998</v>
      </c>
      <c r="M427" s="9">
        <v>1030</v>
      </c>
      <c r="N427" s="9"/>
      <c r="O427" s="9"/>
      <c r="P427" s="41">
        <v>20</v>
      </c>
    </row>
    <row r="428" spans="1:16" x14ac:dyDescent="0.3">
      <c r="A428" s="36"/>
      <c r="B428" s="37">
        <v>6.128076012668715</v>
      </c>
      <c r="C428" s="9" t="s">
        <v>43</v>
      </c>
      <c r="D428" s="37">
        <v>1343000</v>
      </c>
      <c r="E428" s="9">
        <v>2.77</v>
      </c>
      <c r="F428" s="9">
        <v>236.3</v>
      </c>
      <c r="G428" s="9">
        <v>0</v>
      </c>
      <c r="H428" s="9">
        <v>0</v>
      </c>
      <c r="I428" s="9">
        <v>-3.79</v>
      </c>
      <c r="J428" s="9">
        <v>2</v>
      </c>
      <c r="K428" s="9">
        <v>1.87</v>
      </c>
      <c r="L428" s="9">
        <v>3.12</v>
      </c>
      <c r="M428" s="9">
        <v>1156</v>
      </c>
      <c r="N428" s="9"/>
      <c r="O428" s="9"/>
      <c r="P428" s="41">
        <v>20</v>
      </c>
    </row>
    <row r="429" spans="1:16" x14ac:dyDescent="0.3">
      <c r="A429" s="36"/>
      <c r="B429" s="37">
        <v>6.0503797562614574</v>
      </c>
      <c r="C429" s="9" t="s">
        <v>43</v>
      </c>
      <c r="D429" s="37">
        <v>1123000</v>
      </c>
      <c r="E429" s="9">
        <v>2.77</v>
      </c>
      <c r="F429" s="9">
        <v>236.3</v>
      </c>
      <c r="G429" s="9">
        <v>0</v>
      </c>
      <c r="H429" s="9">
        <v>0</v>
      </c>
      <c r="I429" s="9">
        <v>-3.79</v>
      </c>
      <c r="J429" s="9">
        <v>2</v>
      </c>
      <c r="K429" s="9">
        <v>1.87</v>
      </c>
      <c r="L429" s="9">
        <v>3.12</v>
      </c>
      <c r="M429" s="9">
        <v>1156</v>
      </c>
      <c r="N429" s="9"/>
      <c r="O429" s="9"/>
      <c r="P429" s="41">
        <v>20</v>
      </c>
    </row>
    <row r="430" spans="1:16" x14ac:dyDescent="0.3">
      <c r="A430" s="9"/>
      <c r="B430" s="37">
        <v>6.2227164711475833</v>
      </c>
      <c r="C430" s="9" t="s">
        <v>116</v>
      </c>
      <c r="D430" s="37">
        <v>1670000</v>
      </c>
      <c r="E430" s="9">
        <v>1.38</v>
      </c>
      <c r="F430" s="9">
        <v>296.2</v>
      </c>
      <c r="G430" s="9">
        <v>0</v>
      </c>
      <c r="H430" s="9">
        <v>1</v>
      </c>
      <c r="I430" s="9">
        <v>-1.3</v>
      </c>
      <c r="J430" s="9">
        <v>2</v>
      </c>
      <c r="K430" s="9">
        <v>2.0699999999999998</v>
      </c>
      <c r="L430" s="9">
        <v>2.66</v>
      </c>
      <c r="M430" s="9">
        <v>1615</v>
      </c>
      <c r="N430" s="9">
        <v>6.14</v>
      </c>
      <c r="O430" s="9"/>
      <c r="P430" s="41">
        <v>26</v>
      </c>
    </row>
    <row r="431" spans="1:16" x14ac:dyDescent="0.3">
      <c r="A431" s="9"/>
      <c r="B431" s="37">
        <v>5.2174839442139067</v>
      </c>
      <c r="C431" s="9" t="s">
        <v>74</v>
      </c>
      <c r="D431" s="37">
        <v>165000</v>
      </c>
      <c r="E431" s="9">
        <v>0.91</v>
      </c>
      <c r="F431" s="9">
        <v>151.16</v>
      </c>
      <c r="G431" s="9">
        <v>0</v>
      </c>
      <c r="H431" s="9">
        <v>0</v>
      </c>
      <c r="I431" s="9">
        <v>-1.1299999999999999</v>
      </c>
      <c r="J431" s="9">
        <v>1</v>
      </c>
      <c r="K431" s="9">
        <v>1.21</v>
      </c>
      <c r="L431" s="9">
        <v>1.65</v>
      </c>
      <c r="M431" s="9">
        <v>1615</v>
      </c>
      <c r="N431" s="9">
        <v>6.14</v>
      </c>
      <c r="O431" s="9"/>
      <c r="P431" s="41">
        <v>26</v>
      </c>
    </row>
    <row r="432" spans="1:16" x14ac:dyDescent="0.3">
      <c r="A432" s="9"/>
      <c r="B432" s="37">
        <v>6.2909245593827539</v>
      </c>
      <c r="C432" s="9" t="s">
        <v>117</v>
      </c>
      <c r="D432" s="37">
        <v>1954000</v>
      </c>
      <c r="E432" s="9">
        <v>2.77</v>
      </c>
      <c r="F432" s="9">
        <v>236.3</v>
      </c>
      <c r="G432" s="9">
        <v>0</v>
      </c>
      <c r="H432" s="9">
        <v>0</v>
      </c>
      <c r="I432" s="9">
        <v>-3.79</v>
      </c>
      <c r="J432" s="9">
        <v>2</v>
      </c>
      <c r="K432" s="9">
        <v>1.87</v>
      </c>
      <c r="L432" s="9">
        <v>3.12</v>
      </c>
      <c r="M432" s="9">
        <v>1615</v>
      </c>
      <c r="N432" s="9">
        <v>6.14</v>
      </c>
      <c r="O432" s="9"/>
      <c r="P432" s="41">
        <v>26</v>
      </c>
    </row>
    <row r="433" spans="1:16" x14ac:dyDescent="0.3">
      <c r="A433" s="36"/>
      <c r="B433" s="37">
        <v>6.7839035792727351</v>
      </c>
      <c r="C433" s="9" t="s">
        <v>75</v>
      </c>
      <c r="D433" s="37">
        <v>6080000</v>
      </c>
      <c r="E433" s="9">
        <v>-0.68</v>
      </c>
      <c r="F433" s="9">
        <v>336.42</v>
      </c>
      <c r="G433" s="9">
        <v>1</v>
      </c>
      <c r="H433" s="9">
        <v>0</v>
      </c>
      <c r="I433" s="9">
        <v>-0.87</v>
      </c>
      <c r="J433" s="9">
        <v>1</v>
      </c>
      <c r="K433" s="9">
        <v>3.01</v>
      </c>
      <c r="L433" s="9">
        <v>1.4</v>
      </c>
      <c r="M433" s="9">
        <v>771.5</v>
      </c>
      <c r="N433" s="9">
        <v>11.5</v>
      </c>
      <c r="O433" s="9"/>
      <c r="P433" s="41">
        <v>27</v>
      </c>
    </row>
    <row r="434" spans="1:16" x14ac:dyDescent="0.3">
      <c r="A434" s="36"/>
      <c r="B434" s="37">
        <v>6.7151673578484576</v>
      </c>
      <c r="C434" s="9" t="s">
        <v>76</v>
      </c>
      <c r="D434" s="37">
        <v>5190000</v>
      </c>
      <c r="E434" s="9">
        <v>-1.78</v>
      </c>
      <c r="F434" s="9">
        <v>266.33999999999997</v>
      </c>
      <c r="G434" s="9">
        <v>1</v>
      </c>
      <c r="H434" s="9">
        <v>0</v>
      </c>
      <c r="I434" s="9">
        <v>0.43</v>
      </c>
      <c r="J434" s="9">
        <v>1</v>
      </c>
      <c r="K434" s="9">
        <v>2.37</v>
      </c>
      <c r="L434" s="9">
        <v>1.83</v>
      </c>
      <c r="M434" s="9">
        <v>771.5</v>
      </c>
      <c r="N434" s="9">
        <v>11.5</v>
      </c>
      <c r="O434" s="9"/>
      <c r="P434" s="41">
        <v>27</v>
      </c>
    </row>
    <row r="435" spans="1:16" x14ac:dyDescent="0.3">
      <c r="A435" s="36"/>
      <c r="B435" s="37">
        <v>6.9652017010259124</v>
      </c>
      <c r="C435" s="9" t="s">
        <v>43</v>
      </c>
      <c r="D435" s="37">
        <v>9230000</v>
      </c>
      <c r="E435" s="9">
        <v>2.77</v>
      </c>
      <c r="F435" s="9">
        <v>236.3</v>
      </c>
      <c r="G435" s="9">
        <v>0</v>
      </c>
      <c r="H435" s="9">
        <v>0</v>
      </c>
      <c r="I435" s="9">
        <v>-3.79</v>
      </c>
      <c r="J435" s="9">
        <v>2</v>
      </c>
      <c r="K435" s="9">
        <v>1.87</v>
      </c>
      <c r="L435" s="9">
        <v>3.12</v>
      </c>
      <c r="M435" s="9">
        <v>771.5</v>
      </c>
      <c r="N435" s="9">
        <v>11.5</v>
      </c>
      <c r="O435" s="9"/>
      <c r="P435" s="41">
        <v>27</v>
      </c>
    </row>
    <row r="436" spans="1:16" x14ac:dyDescent="0.3">
      <c r="A436" s="9"/>
      <c r="B436" s="37">
        <v>4.0273496077747568</v>
      </c>
      <c r="C436" s="9" t="s">
        <v>67</v>
      </c>
      <c r="D436" s="37">
        <v>10650</v>
      </c>
      <c r="E436" s="9">
        <v>0.06</v>
      </c>
      <c r="F436" s="9">
        <v>207.24</v>
      </c>
      <c r="G436" s="9">
        <v>0</v>
      </c>
      <c r="H436" s="9">
        <v>0</v>
      </c>
      <c r="I436" s="9">
        <v>-1.47</v>
      </c>
      <c r="J436" s="9">
        <v>0</v>
      </c>
      <c r="K436" s="9">
        <v>1.64</v>
      </c>
      <c r="L436" s="40">
        <v>1</v>
      </c>
      <c r="M436" s="9">
        <v>1054</v>
      </c>
      <c r="N436" s="9">
        <v>7.6</v>
      </c>
      <c r="O436" s="9">
        <v>0.6</v>
      </c>
      <c r="P436" s="41">
        <v>24</v>
      </c>
    </row>
    <row r="437" spans="1:16" x14ac:dyDescent="0.3">
      <c r="A437" s="9"/>
      <c r="B437" s="37">
        <v>4.2430380486862944</v>
      </c>
      <c r="C437" s="9" t="s">
        <v>67</v>
      </c>
      <c r="D437" s="37">
        <v>17500</v>
      </c>
      <c r="E437" s="9">
        <v>0.06</v>
      </c>
      <c r="F437" s="9">
        <v>207.24</v>
      </c>
      <c r="G437" s="9">
        <v>0</v>
      </c>
      <c r="H437" s="9">
        <v>0</v>
      </c>
      <c r="I437" s="9">
        <v>-1.47</v>
      </c>
      <c r="J437" s="9">
        <v>0</v>
      </c>
      <c r="K437" s="9">
        <v>1.64</v>
      </c>
      <c r="L437" s="40">
        <v>1</v>
      </c>
      <c r="M437" s="9">
        <v>1003</v>
      </c>
      <c r="N437" s="9">
        <v>6.7</v>
      </c>
      <c r="O437" s="9">
        <v>0.56999999999999995</v>
      </c>
      <c r="P437" s="41">
        <v>24</v>
      </c>
    </row>
    <row r="438" spans="1:16" x14ac:dyDescent="0.3">
      <c r="A438" s="9"/>
      <c r="B438" s="37">
        <v>4.1903316981702918</v>
      </c>
      <c r="C438" s="9" t="s">
        <v>67</v>
      </c>
      <c r="D438" s="37">
        <v>15500</v>
      </c>
      <c r="E438" s="9">
        <v>0.06</v>
      </c>
      <c r="F438" s="9">
        <v>207.24</v>
      </c>
      <c r="G438" s="9">
        <v>0</v>
      </c>
      <c r="H438" s="9">
        <v>0</v>
      </c>
      <c r="I438" s="9">
        <v>-1.47</v>
      </c>
      <c r="J438" s="9">
        <v>0</v>
      </c>
      <c r="K438" s="9">
        <v>1.64</v>
      </c>
      <c r="L438" s="40">
        <v>1</v>
      </c>
      <c r="M438" s="9">
        <v>993</v>
      </c>
      <c r="N438" s="9">
        <v>7.6</v>
      </c>
      <c r="O438" s="9">
        <v>1.3</v>
      </c>
      <c r="P438" s="41">
        <v>24</v>
      </c>
    </row>
    <row r="439" spans="1:16" x14ac:dyDescent="0.3">
      <c r="A439" s="9"/>
      <c r="B439" s="37">
        <v>4.1383026981662816</v>
      </c>
      <c r="C439" s="9" t="s">
        <v>67</v>
      </c>
      <c r="D439" s="37">
        <v>13750</v>
      </c>
      <c r="E439" s="9">
        <v>0.06</v>
      </c>
      <c r="F439" s="9">
        <v>207.24</v>
      </c>
      <c r="G439" s="9">
        <v>0</v>
      </c>
      <c r="H439" s="9">
        <v>0</v>
      </c>
      <c r="I439" s="9">
        <v>-1.47</v>
      </c>
      <c r="J439" s="9">
        <v>0</v>
      </c>
      <c r="K439" s="9">
        <v>1.64</v>
      </c>
      <c r="L439" s="40">
        <v>1</v>
      </c>
      <c r="M439" s="9">
        <v>945</v>
      </c>
      <c r="N439" s="9">
        <v>6.6</v>
      </c>
      <c r="O439" s="9">
        <v>1.5</v>
      </c>
      <c r="P439" s="41">
        <v>24</v>
      </c>
    </row>
    <row r="440" spans="1:16" x14ac:dyDescent="0.3">
      <c r="A440" s="9"/>
      <c r="B440" s="37">
        <v>4.1619666163640749</v>
      </c>
      <c r="C440" s="9" t="s">
        <v>67</v>
      </c>
      <c r="D440" s="37">
        <v>14520</v>
      </c>
      <c r="E440" s="9">
        <v>0.06</v>
      </c>
      <c r="F440" s="9">
        <v>207.24</v>
      </c>
      <c r="G440" s="9">
        <v>0</v>
      </c>
      <c r="H440" s="9">
        <v>0</v>
      </c>
      <c r="I440" s="9">
        <v>-1.47</v>
      </c>
      <c r="J440" s="9">
        <v>0</v>
      </c>
      <c r="K440" s="9">
        <v>1.64</v>
      </c>
      <c r="L440" s="40">
        <v>1</v>
      </c>
      <c r="M440" s="9">
        <v>1047</v>
      </c>
      <c r="N440" s="9">
        <v>6.7</v>
      </c>
      <c r="O440" s="9">
        <v>1.65</v>
      </c>
      <c r="P440" s="41">
        <v>24</v>
      </c>
    </row>
    <row r="441" spans="1:16" x14ac:dyDescent="0.3">
      <c r="A441" s="9"/>
      <c r="B441" s="37">
        <v>3.741939077729199</v>
      </c>
      <c r="C441" s="9" t="s">
        <v>67</v>
      </c>
      <c r="D441" s="37">
        <v>5520</v>
      </c>
      <c r="E441" s="9">
        <v>0.06</v>
      </c>
      <c r="F441" s="9">
        <v>207.24</v>
      </c>
      <c r="G441" s="9">
        <v>0</v>
      </c>
      <c r="H441" s="9">
        <v>0</v>
      </c>
      <c r="I441" s="9">
        <v>-1.47</v>
      </c>
      <c r="J441" s="9">
        <v>0</v>
      </c>
      <c r="K441" s="9">
        <v>1.64</v>
      </c>
      <c r="L441" s="40">
        <v>1</v>
      </c>
      <c r="M441" s="9">
        <v>982</v>
      </c>
      <c r="N441" s="9">
        <v>6.4</v>
      </c>
      <c r="O441" s="9">
        <v>2.9</v>
      </c>
      <c r="P441" s="41">
        <v>24</v>
      </c>
    </row>
    <row r="442" spans="1:16" x14ac:dyDescent="0.3">
      <c r="A442" s="9"/>
      <c r="B442" s="37">
        <v>4.8402629644176125</v>
      </c>
      <c r="C442" s="9" t="s">
        <v>118</v>
      </c>
      <c r="D442" s="37">
        <v>69225.000000000015</v>
      </c>
      <c r="E442" s="9">
        <v>0.21</v>
      </c>
      <c r="F442" s="9">
        <v>135.21</v>
      </c>
      <c r="G442" s="9">
        <v>0</v>
      </c>
      <c r="H442" s="9">
        <v>1</v>
      </c>
      <c r="I442" s="9">
        <v>0.63</v>
      </c>
      <c r="J442" s="9">
        <v>1</v>
      </c>
      <c r="K442" s="9">
        <v>1.46</v>
      </c>
      <c r="L442" s="9">
        <v>2.46</v>
      </c>
      <c r="M442" s="9">
        <v>1054</v>
      </c>
      <c r="N442" s="9">
        <v>7.6</v>
      </c>
      <c r="O442" s="9">
        <v>0.6</v>
      </c>
      <c r="P442" s="41">
        <v>24</v>
      </c>
    </row>
    <row r="443" spans="1:16" x14ac:dyDescent="0.3">
      <c r="A443" s="9"/>
      <c r="B443" s="37">
        <v>4.8733206018153989</v>
      </c>
      <c r="C443" s="9" t="s">
        <v>118</v>
      </c>
      <c r="D443" s="37">
        <v>74700</v>
      </c>
      <c r="E443" s="9">
        <v>0.21</v>
      </c>
      <c r="F443" s="9">
        <v>135.21</v>
      </c>
      <c r="G443" s="9">
        <v>0</v>
      </c>
      <c r="H443" s="9">
        <v>1</v>
      </c>
      <c r="I443" s="9">
        <v>0.63</v>
      </c>
      <c r="J443" s="9">
        <v>1</v>
      </c>
      <c r="K443" s="9">
        <v>1.46</v>
      </c>
      <c r="L443" s="9">
        <v>2.46</v>
      </c>
      <c r="M443" s="9">
        <v>1003</v>
      </c>
      <c r="N443" s="9">
        <v>6.7</v>
      </c>
      <c r="O443" s="9">
        <v>0.56999999999999995</v>
      </c>
      <c r="P443" s="41">
        <v>24</v>
      </c>
    </row>
    <row r="444" spans="1:16" x14ac:dyDescent="0.3">
      <c r="A444" s="9"/>
      <c r="B444" s="37">
        <v>4.8512583487190755</v>
      </c>
      <c r="C444" s="9" t="s">
        <v>118</v>
      </c>
      <c r="D444" s="37">
        <v>71000</v>
      </c>
      <c r="E444" s="9">
        <v>0.21</v>
      </c>
      <c r="F444" s="9">
        <v>135.21</v>
      </c>
      <c r="G444" s="9">
        <v>0</v>
      </c>
      <c r="H444" s="9">
        <v>1</v>
      </c>
      <c r="I444" s="9">
        <v>0.63</v>
      </c>
      <c r="J444" s="9">
        <v>1</v>
      </c>
      <c r="K444" s="9">
        <v>1.46</v>
      </c>
      <c r="L444" s="9">
        <v>2.46</v>
      </c>
      <c r="M444" s="9">
        <v>993</v>
      </c>
      <c r="N444" s="9">
        <v>7.6</v>
      </c>
      <c r="O444" s="9">
        <v>1.3</v>
      </c>
      <c r="P444" s="41">
        <v>24</v>
      </c>
    </row>
    <row r="445" spans="1:16" x14ac:dyDescent="0.3">
      <c r="A445" s="9"/>
      <c r="B445" s="37">
        <v>4.8468008542794783</v>
      </c>
      <c r="C445" s="9" t="s">
        <v>118</v>
      </c>
      <c r="D445" s="37">
        <v>70275</v>
      </c>
      <c r="E445" s="9">
        <v>0.21</v>
      </c>
      <c r="F445" s="9">
        <v>135.21</v>
      </c>
      <c r="G445" s="9">
        <v>0</v>
      </c>
      <c r="H445" s="9">
        <v>1</v>
      </c>
      <c r="I445" s="9">
        <v>0.63</v>
      </c>
      <c r="J445" s="9">
        <v>1</v>
      </c>
      <c r="K445" s="9">
        <v>1.46</v>
      </c>
      <c r="L445" s="9">
        <v>2.46</v>
      </c>
      <c r="M445" s="9">
        <v>945</v>
      </c>
      <c r="N445" s="9">
        <v>6.6</v>
      </c>
      <c r="O445" s="9">
        <v>1.5</v>
      </c>
      <c r="P445" s="41">
        <v>24</v>
      </c>
    </row>
    <row r="446" spans="1:16" x14ac:dyDescent="0.3">
      <c r="A446" s="9"/>
      <c r="B446" s="37">
        <v>4.8741918046790715</v>
      </c>
      <c r="C446" s="9" t="s">
        <v>118</v>
      </c>
      <c r="D446" s="37">
        <v>74850</v>
      </c>
      <c r="E446" s="9">
        <v>0.21</v>
      </c>
      <c r="F446" s="9">
        <v>135.21</v>
      </c>
      <c r="G446" s="9">
        <v>0</v>
      </c>
      <c r="H446" s="9">
        <v>1</v>
      </c>
      <c r="I446" s="9">
        <v>0.63</v>
      </c>
      <c r="J446" s="9">
        <v>1</v>
      </c>
      <c r="K446" s="9">
        <v>1.46</v>
      </c>
      <c r="L446" s="9">
        <v>2.46</v>
      </c>
      <c r="M446" s="9">
        <v>1047</v>
      </c>
      <c r="N446" s="9">
        <v>6.7</v>
      </c>
      <c r="O446" s="9">
        <v>1.65</v>
      </c>
      <c r="P446" s="41">
        <v>24</v>
      </c>
    </row>
    <row r="447" spans="1:16" x14ac:dyDescent="0.3">
      <c r="A447" s="9"/>
      <c r="B447" s="37">
        <v>4.8506462351830661</v>
      </c>
      <c r="C447" s="9" t="s">
        <v>118</v>
      </c>
      <c r="D447" s="37">
        <v>70900</v>
      </c>
      <c r="E447" s="9">
        <v>0.21</v>
      </c>
      <c r="F447" s="9">
        <v>135.21</v>
      </c>
      <c r="G447" s="9">
        <v>0</v>
      </c>
      <c r="H447" s="9">
        <v>1</v>
      </c>
      <c r="I447" s="9">
        <v>0.63</v>
      </c>
      <c r="J447" s="9">
        <v>1</v>
      </c>
      <c r="K447" s="9">
        <v>1.46</v>
      </c>
      <c r="L447" s="9">
        <v>2.46</v>
      </c>
      <c r="M447" s="9">
        <v>982</v>
      </c>
      <c r="N447" s="9">
        <v>6.4</v>
      </c>
      <c r="O447" s="9">
        <v>2.9</v>
      </c>
      <c r="P447" s="41">
        <v>24</v>
      </c>
    </row>
    <row r="448" spans="1:16" x14ac:dyDescent="0.3">
      <c r="A448" s="9"/>
      <c r="B448" s="37">
        <v>4.8491121661845771</v>
      </c>
      <c r="C448" s="9" t="s">
        <v>124</v>
      </c>
      <c r="D448" s="37">
        <v>70650</v>
      </c>
      <c r="E448" s="9">
        <v>-2.25</v>
      </c>
      <c r="F448" s="9">
        <v>150.24</v>
      </c>
      <c r="G448" s="9">
        <v>1</v>
      </c>
      <c r="H448" s="9">
        <v>0</v>
      </c>
      <c r="I448" s="9">
        <v>0.83</v>
      </c>
      <c r="J448" s="9">
        <v>1</v>
      </c>
      <c r="K448" s="9">
        <v>1.65</v>
      </c>
      <c r="L448" s="9">
        <v>2.4</v>
      </c>
      <c r="M448" s="9">
        <v>1054</v>
      </c>
      <c r="N448" s="9">
        <v>7.6</v>
      </c>
      <c r="O448" s="9">
        <v>0.6</v>
      </c>
      <c r="P448" s="41">
        <v>24</v>
      </c>
    </row>
    <row r="449" spans="1:16" x14ac:dyDescent="0.3">
      <c r="A449" s="9"/>
      <c r="B449" s="37">
        <v>4.9217904856581871</v>
      </c>
      <c r="C449" s="9" t="s">
        <v>124</v>
      </c>
      <c r="D449" s="37">
        <v>83520</v>
      </c>
      <c r="E449" s="9">
        <v>-2.25</v>
      </c>
      <c r="F449" s="9">
        <v>150.24</v>
      </c>
      <c r="G449" s="9">
        <v>1</v>
      </c>
      <c r="H449" s="9">
        <v>0</v>
      </c>
      <c r="I449" s="9">
        <v>0.83</v>
      </c>
      <c r="J449" s="9">
        <v>1</v>
      </c>
      <c r="K449" s="9">
        <v>1.65</v>
      </c>
      <c r="L449" s="9">
        <v>2.4</v>
      </c>
      <c r="M449" s="9">
        <v>1003</v>
      </c>
      <c r="N449" s="9">
        <v>6.7</v>
      </c>
      <c r="O449" s="9">
        <v>0.56999999999999995</v>
      </c>
      <c r="P449" s="41">
        <v>24</v>
      </c>
    </row>
    <row r="450" spans="1:16" x14ac:dyDescent="0.3">
      <c r="A450" s="9"/>
      <c r="B450" s="37">
        <v>4.8816699076720615</v>
      </c>
      <c r="C450" s="9" t="s">
        <v>124</v>
      </c>
      <c r="D450" s="37">
        <v>76150</v>
      </c>
      <c r="E450" s="9">
        <v>-2.25</v>
      </c>
      <c r="F450" s="9">
        <v>150.24</v>
      </c>
      <c r="G450" s="9">
        <v>1</v>
      </c>
      <c r="H450" s="9">
        <v>0</v>
      </c>
      <c r="I450" s="9">
        <v>0.83</v>
      </c>
      <c r="J450" s="9">
        <v>1</v>
      </c>
      <c r="K450" s="9">
        <v>1.65</v>
      </c>
      <c r="L450" s="9">
        <v>2.4</v>
      </c>
      <c r="M450" s="9">
        <v>993</v>
      </c>
      <c r="N450" s="9">
        <v>7.6</v>
      </c>
      <c r="O450" s="9">
        <v>1.3</v>
      </c>
      <c r="P450" s="41">
        <v>24</v>
      </c>
    </row>
    <row r="451" spans="1:16" x14ac:dyDescent="0.3">
      <c r="A451" s="9"/>
      <c r="B451" s="37">
        <v>4.9084850188786495</v>
      </c>
      <c r="C451" s="9" t="s">
        <v>124</v>
      </c>
      <c r="D451" s="37">
        <v>81000</v>
      </c>
      <c r="E451" s="9">
        <v>-2.25</v>
      </c>
      <c r="F451" s="9">
        <v>150.24</v>
      </c>
      <c r="G451" s="9">
        <v>1</v>
      </c>
      <c r="H451" s="9">
        <v>0</v>
      </c>
      <c r="I451" s="9">
        <v>0.83</v>
      </c>
      <c r="J451" s="9">
        <v>1</v>
      </c>
      <c r="K451" s="9">
        <v>1.65</v>
      </c>
      <c r="L451" s="9">
        <v>2.4</v>
      </c>
      <c r="M451" s="9">
        <v>945</v>
      </c>
      <c r="N451" s="9">
        <v>6.6</v>
      </c>
      <c r="O451" s="9">
        <v>1.5</v>
      </c>
      <c r="P451" s="41">
        <v>24</v>
      </c>
    </row>
    <row r="452" spans="1:16" x14ac:dyDescent="0.3">
      <c r="A452" s="9"/>
      <c r="B452" s="37">
        <v>4.9166118451093457</v>
      </c>
      <c r="C452" s="9" t="s">
        <v>124</v>
      </c>
      <c r="D452" s="37">
        <v>82530</v>
      </c>
      <c r="E452" s="9">
        <v>-2.25</v>
      </c>
      <c r="F452" s="9">
        <v>150.24</v>
      </c>
      <c r="G452" s="9">
        <v>1</v>
      </c>
      <c r="H452" s="9">
        <v>0</v>
      </c>
      <c r="I452" s="9">
        <v>0.83</v>
      </c>
      <c r="J452" s="9">
        <v>1</v>
      </c>
      <c r="K452" s="9">
        <v>1.65</v>
      </c>
      <c r="L452" s="9">
        <v>2.4</v>
      </c>
      <c r="M452" s="9">
        <v>1047</v>
      </c>
      <c r="N452" s="9">
        <v>6.7</v>
      </c>
      <c r="O452" s="9">
        <v>1.65</v>
      </c>
      <c r="P452" s="41">
        <v>24</v>
      </c>
    </row>
    <row r="453" spans="1:16" x14ac:dyDescent="0.3">
      <c r="A453" s="9"/>
      <c r="B453" s="37">
        <v>4.9132839017604182</v>
      </c>
      <c r="C453" s="9" t="s">
        <v>124</v>
      </c>
      <c r="D453" s="37">
        <v>81900</v>
      </c>
      <c r="E453" s="9">
        <v>-2.25</v>
      </c>
      <c r="F453" s="9">
        <v>150.24</v>
      </c>
      <c r="G453" s="9">
        <v>1</v>
      </c>
      <c r="H453" s="9">
        <v>0</v>
      </c>
      <c r="I453" s="9">
        <v>0.83</v>
      </c>
      <c r="J453" s="9">
        <v>1</v>
      </c>
      <c r="K453" s="9">
        <v>1.65</v>
      </c>
      <c r="L453" s="9">
        <v>2.4</v>
      </c>
      <c r="M453" s="9">
        <v>982</v>
      </c>
      <c r="N453" s="9">
        <v>6.4</v>
      </c>
      <c r="O453" s="9">
        <v>2.9</v>
      </c>
      <c r="P453" s="41">
        <v>24</v>
      </c>
    </row>
    <row r="454" spans="1:16" x14ac:dyDescent="0.3">
      <c r="A454" s="9"/>
      <c r="B454" s="37">
        <v>2.6020599913279625</v>
      </c>
      <c r="C454" s="9" t="s">
        <v>125</v>
      </c>
      <c r="D454" s="37">
        <v>400</v>
      </c>
      <c r="E454" s="9">
        <v>-1.03</v>
      </c>
      <c r="F454" s="9">
        <v>84.08</v>
      </c>
      <c r="G454" s="9">
        <v>0</v>
      </c>
      <c r="H454" s="9">
        <v>0</v>
      </c>
      <c r="I454" s="9">
        <v>0.23</v>
      </c>
      <c r="J454" s="9">
        <v>0</v>
      </c>
      <c r="K454" s="9">
        <v>0.66600000000000004</v>
      </c>
      <c r="L454" s="9">
        <v>0.95</v>
      </c>
      <c r="M454" s="9">
        <v>1054</v>
      </c>
      <c r="N454" s="9">
        <v>7.6</v>
      </c>
      <c r="O454" s="9">
        <v>0.6</v>
      </c>
      <c r="P454" s="41">
        <v>24</v>
      </c>
    </row>
    <row r="455" spans="1:16" x14ac:dyDescent="0.3">
      <c r="A455" s="9"/>
      <c r="B455" s="37">
        <v>3.3344537511509307</v>
      </c>
      <c r="C455" s="9" t="s">
        <v>125</v>
      </c>
      <c r="D455" s="37">
        <v>2160</v>
      </c>
      <c r="E455" s="9">
        <v>-1.03</v>
      </c>
      <c r="F455" s="9">
        <v>84.08</v>
      </c>
      <c r="G455" s="9">
        <v>0</v>
      </c>
      <c r="H455" s="9">
        <v>0</v>
      </c>
      <c r="I455" s="9">
        <v>0.23</v>
      </c>
      <c r="J455" s="9">
        <v>0</v>
      </c>
      <c r="K455" s="9">
        <v>0.66600000000000004</v>
      </c>
      <c r="L455" s="9">
        <v>0.95</v>
      </c>
      <c r="M455" s="9">
        <v>1003</v>
      </c>
      <c r="N455" s="9">
        <v>6.7</v>
      </c>
      <c r="O455" s="9">
        <v>0.56999999999999995</v>
      </c>
      <c r="P455" s="41">
        <v>24</v>
      </c>
    </row>
    <row r="456" spans="1:16" x14ac:dyDescent="0.3">
      <c r="A456" s="9"/>
      <c r="B456" s="37">
        <v>3.1760912590556813</v>
      </c>
      <c r="C456" s="9" t="s">
        <v>125</v>
      </c>
      <c r="D456" s="37">
        <v>1500</v>
      </c>
      <c r="E456" s="9">
        <v>-1.03</v>
      </c>
      <c r="F456" s="9">
        <v>84.08</v>
      </c>
      <c r="G456" s="9">
        <v>0</v>
      </c>
      <c r="H456" s="9">
        <v>0</v>
      </c>
      <c r="I456" s="9">
        <v>0.23</v>
      </c>
      <c r="J456" s="9">
        <v>0</v>
      </c>
      <c r="K456" s="9">
        <v>0.66600000000000004</v>
      </c>
      <c r="L456" s="9">
        <v>0.95</v>
      </c>
      <c r="M456" s="9">
        <v>993</v>
      </c>
      <c r="N456" s="9">
        <v>7.6</v>
      </c>
      <c r="O456" s="9">
        <v>1.3</v>
      </c>
      <c r="P456" s="41">
        <v>24</v>
      </c>
    </row>
    <row r="457" spans="1:16" x14ac:dyDescent="0.3">
      <c r="A457" s="9"/>
      <c r="B457" s="37">
        <v>3.5051499783199058</v>
      </c>
      <c r="C457" s="9" t="s">
        <v>125</v>
      </c>
      <c r="D457" s="37">
        <v>3200</v>
      </c>
      <c r="E457" s="9">
        <v>-1.03</v>
      </c>
      <c r="F457" s="9">
        <v>84.08</v>
      </c>
      <c r="G457" s="9">
        <v>0</v>
      </c>
      <c r="H457" s="9">
        <v>0</v>
      </c>
      <c r="I457" s="9">
        <v>0.23</v>
      </c>
      <c r="J457" s="9">
        <v>0</v>
      </c>
      <c r="K457" s="9">
        <v>0.66600000000000004</v>
      </c>
      <c r="L457" s="9">
        <v>0.95</v>
      </c>
      <c r="M457" s="9">
        <v>945</v>
      </c>
      <c r="N457" s="9">
        <v>6.6</v>
      </c>
      <c r="O457" s="9">
        <v>1.5</v>
      </c>
      <c r="P457" s="41">
        <v>24</v>
      </c>
    </row>
    <row r="458" spans="1:16" x14ac:dyDescent="0.3">
      <c r="A458" s="9"/>
      <c r="B458" s="37">
        <v>3.1613680022349748</v>
      </c>
      <c r="C458" s="9" t="s">
        <v>125</v>
      </c>
      <c r="D458" s="37">
        <v>1450</v>
      </c>
      <c r="E458" s="9">
        <v>-1.03</v>
      </c>
      <c r="F458" s="9">
        <v>84.08</v>
      </c>
      <c r="G458" s="9">
        <v>0</v>
      </c>
      <c r="H458" s="9">
        <v>0</v>
      </c>
      <c r="I458" s="9">
        <v>0.23</v>
      </c>
      <c r="J458" s="9">
        <v>0</v>
      </c>
      <c r="K458" s="9">
        <v>0.66600000000000004</v>
      </c>
      <c r="L458" s="9">
        <v>0.95</v>
      </c>
      <c r="M458" s="9">
        <v>1047</v>
      </c>
      <c r="N458" s="9">
        <v>6.7</v>
      </c>
      <c r="O458" s="9">
        <v>1.65</v>
      </c>
      <c r="P458" s="41">
        <v>24</v>
      </c>
    </row>
    <row r="459" spans="1:16" x14ac:dyDescent="0.3">
      <c r="A459" s="9"/>
      <c r="B459" s="37">
        <v>2.9294189257142929</v>
      </c>
      <c r="C459" s="9" t="s">
        <v>125</v>
      </c>
      <c r="D459" s="37">
        <v>850</v>
      </c>
      <c r="E459" s="9">
        <v>-1.03</v>
      </c>
      <c r="F459" s="9">
        <v>84.08</v>
      </c>
      <c r="G459" s="9">
        <v>0</v>
      </c>
      <c r="H459" s="9">
        <v>0</v>
      </c>
      <c r="I459" s="9">
        <v>0.23</v>
      </c>
      <c r="J459" s="9">
        <v>0</v>
      </c>
      <c r="K459" s="9">
        <v>0.66600000000000004</v>
      </c>
      <c r="L459" s="9">
        <v>0.95</v>
      </c>
      <c r="M459" s="9">
        <v>982</v>
      </c>
      <c r="N459" s="9">
        <v>6.4</v>
      </c>
      <c r="O459" s="9">
        <v>2.9</v>
      </c>
      <c r="P459" s="41">
        <v>24</v>
      </c>
    </row>
    <row r="460" spans="1:16" x14ac:dyDescent="0.3">
      <c r="A460" s="9"/>
      <c r="B460" s="37">
        <v>3.2900346113625178</v>
      </c>
      <c r="C460" s="9" t="s">
        <v>126</v>
      </c>
      <c r="D460" s="37">
        <v>1950</v>
      </c>
      <c r="E460" s="9">
        <v>-2.21</v>
      </c>
      <c r="F460" s="9">
        <v>158.15</v>
      </c>
      <c r="G460" s="9">
        <v>0</v>
      </c>
      <c r="H460" s="9">
        <v>1</v>
      </c>
      <c r="I460" s="9">
        <v>2.15</v>
      </c>
      <c r="J460" s="9">
        <v>0</v>
      </c>
      <c r="K460" s="9">
        <v>0.94699999999999995</v>
      </c>
      <c r="L460" s="9">
        <v>0.38</v>
      </c>
      <c r="M460" s="9">
        <v>1054</v>
      </c>
      <c r="N460" s="9">
        <v>7.6</v>
      </c>
      <c r="O460" s="9">
        <v>0.6</v>
      </c>
      <c r="P460" s="41">
        <v>24</v>
      </c>
    </row>
    <row r="461" spans="1:16" x14ac:dyDescent="0.3">
      <c r="A461" s="9"/>
      <c r="B461" s="37">
        <v>3.6493348587121419</v>
      </c>
      <c r="C461" s="9" t="s">
        <v>126</v>
      </c>
      <c r="D461" s="37">
        <v>4460</v>
      </c>
      <c r="E461" s="9">
        <v>-2.21</v>
      </c>
      <c r="F461" s="9">
        <v>158.15</v>
      </c>
      <c r="G461" s="9">
        <v>0</v>
      </c>
      <c r="H461" s="9">
        <v>1</v>
      </c>
      <c r="I461" s="9">
        <v>2.15</v>
      </c>
      <c r="J461" s="9">
        <v>0</v>
      </c>
      <c r="K461" s="9">
        <v>0.94699999999999995</v>
      </c>
      <c r="L461" s="9">
        <v>0.38</v>
      </c>
      <c r="M461" s="9">
        <v>1003</v>
      </c>
      <c r="N461" s="9">
        <v>6.7</v>
      </c>
      <c r="O461" s="9">
        <v>0.56999999999999995</v>
      </c>
      <c r="P461" s="41">
        <v>24</v>
      </c>
    </row>
    <row r="462" spans="1:16" x14ac:dyDescent="0.3">
      <c r="A462" s="9"/>
      <c r="B462" s="37">
        <v>3.6232492903979003</v>
      </c>
      <c r="C462" s="9" t="s">
        <v>126</v>
      </c>
      <c r="D462" s="37">
        <v>4200</v>
      </c>
      <c r="E462" s="9">
        <v>-2.21</v>
      </c>
      <c r="F462" s="9">
        <v>158.15</v>
      </c>
      <c r="G462" s="9">
        <v>0</v>
      </c>
      <c r="H462" s="9">
        <v>1</v>
      </c>
      <c r="I462" s="9">
        <v>2.15</v>
      </c>
      <c r="J462" s="9">
        <v>0</v>
      </c>
      <c r="K462" s="9">
        <v>0.94699999999999995</v>
      </c>
      <c r="L462" s="9">
        <v>0.38</v>
      </c>
      <c r="M462" s="9">
        <v>993</v>
      </c>
      <c r="N462" s="9">
        <v>7.6</v>
      </c>
      <c r="O462" s="9">
        <v>1.3</v>
      </c>
      <c r="P462" s="41">
        <v>24</v>
      </c>
    </row>
    <row r="463" spans="1:16" x14ac:dyDescent="0.3">
      <c r="A463" s="9"/>
      <c r="B463" s="37">
        <v>3.5751878449276608</v>
      </c>
      <c r="C463" s="9" t="s">
        <v>126</v>
      </c>
      <c r="D463" s="37">
        <v>3760</v>
      </c>
      <c r="E463" s="9">
        <v>-2.21</v>
      </c>
      <c r="F463" s="9">
        <v>158.15</v>
      </c>
      <c r="G463" s="9">
        <v>0</v>
      </c>
      <c r="H463" s="9">
        <v>1</v>
      </c>
      <c r="I463" s="9">
        <v>2.15</v>
      </c>
      <c r="J463" s="9">
        <v>0</v>
      </c>
      <c r="K463" s="9">
        <v>0.94699999999999995</v>
      </c>
      <c r="L463" s="9">
        <v>0.38</v>
      </c>
      <c r="M463" s="9">
        <v>945</v>
      </c>
      <c r="N463" s="9">
        <v>6.6</v>
      </c>
      <c r="O463" s="9">
        <v>1.5</v>
      </c>
      <c r="P463" s="41">
        <v>24</v>
      </c>
    </row>
    <row r="464" spans="1:16" x14ac:dyDescent="0.3">
      <c r="A464" s="9"/>
      <c r="B464" s="37">
        <v>3.1643528557844371</v>
      </c>
      <c r="C464" s="9" t="s">
        <v>126</v>
      </c>
      <c r="D464" s="37">
        <v>1460</v>
      </c>
      <c r="E464" s="9">
        <v>-2.21</v>
      </c>
      <c r="F464" s="9">
        <v>158.15</v>
      </c>
      <c r="G464" s="9">
        <v>0</v>
      </c>
      <c r="H464" s="9">
        <v>1</v>
      </c>
      <c r="I464" s="9">
        <v>2.15</v>
      </c>
      <c r="J464" s="9">
        <v>0</v>
      </c>
      <c r="K464" s="9">
        <v>0.94699999999999995</v>
      </c>
      <c r="L464" s="9">
        <v>0.38</v>
      </c>
      <c r="M464" s="9">
        <v>1047</v>
      </c>
      <c r="N464" s="9">
        <v>6.7</v>
      </c>
      <c r="O464" s="9">
        <v>1.65</v>
      </c>
      <c r="P464" s="41">
        <v>24</v>
      </c>
    </row>
    <row r="465" spans="1:16" x14ac:dyDescent="0.3">
      <c r="A465" s="9"/>
      <c r="B465" s="37">
        <v>3.0086001717619175</v>
      </c>
      <c r="C465" s="9" t="s">
        <v>126</v>
      </c>
      <c r="D465" s="37">
        <v>1020</v>
      </c>
      <c r="E465" s="9">
        <v>-2.21</v>
      </c>
      <c r="F465" s="9">
        <v>158.15</v>
      </c>
      <c r="G465" s="9">
        <v>0</v>
      </c>
      <c r="H465" s="9">
        <v>1</v>
      </c>
      <c r="I465" s="9">
        <v>2.15</v>
      </c>
      <c r="J465" s="9">
        <v>0</v>
      </c>
      <c r="K465" s="9">
        <v>0.94699999999999995</v>
      </c>
      <c r="L465" s="9">
        <v>0.38</v>
      </c>
      <c r="M465" s="9">
        <v>982</v>
      </c>
      <c r="N465" s="9">
        <v>6.4</v>
      </c>
      <c r="O465" s="9">
        <v>2.9</v>
      </c>
      <c r="P465" s="41">
        <v>24</v>
      </c>
    </row>
    <row r="466" spans="1:16" x14ac:dyDescent="0.3">
      <c r="A466" s="9"/>
      <c r="B466" s="37">
        <v>4.4252080511386565</v>
      </c>
      <c r="C466" s="9" t="s">
        <v>127</v>
      </c>
      <c r="D466" s="37">
        <v>26620</v>
      </c>
      <c r="E466" s="9">
        <v>-1.49</v>
      </c>
      <c r="F466" s="9">
        <v>163.15</v>
      </c>
      <c r="G466" s="9">
        <v>0</v>
      </c>
      <c r="H466" s="9">
        <v>1</v>
      </c>
      <c r="I466" s="9">
        <v>1.22</v>
      </c>
      <c r="J466" s="9">
        <v>0</v>
      </c>
      <c r="K466" s="39">
        <v>0.97570000000000001</v>
      </c>
      <c r="L466" s="39">
        <v>0.62324929039790045</v>
      </c>
      <c r="M466" s="9">
        <v>1054</v>
      </c>
      <c r="N466" s="9">
        <v>7.6</v>
      </c>
      <c r="O466" s="9">
        <v>0.6</v>
      </c>
      <c r="P466" s="41">
        <v>24</v>
      </c>
    </row>
    <row r="467" spans="1:16" x14ac:dyDescent="0.3">
      <c r="A467" s="9"/>
      <c r="B467" s="37">
        <v>4.4675193139899267</v>
      </c>
      <c r="C467" s="9" t="s">
        <v>127</v>
      </c>
      <c r="D467" s="37">
        <v>29344</v>
      </c>
      <c r="E467" s="9">
        <v>-1.49</v>
      </c>
      <c r="F467" s="9">
        <v>163.15</v>
      </c>
      <c r="G467" s="9">
        <v>0</v>
      </c>
      <c r="H467" s="9">
        <v>1</v>
      </c>
      <c r="I467" s="9">
        <v>1.22</v>
      </c>
      <c r="J467" s="9">
        <v>0</v>
      </c>
      <c r="K467" s="39">
        <v>0.97570000000000001</v>
      </c>
      <c r="L467" s="39">
        <v>0.62324929039790045</v>
      </c>
      <c r="M467" s="9">
        <v>1003</v>
      </c>
      <c r="N467" s="9">
        <v>6.7</v>
      </c>
      <c r="O467" s="9">
        <v>0.56999999999999995</v>
      </c>
      <c r="P467" s="41">
        <v>24</v>
      </c>
    </row>
    <row r="468" spans="1:16" x14ac:dyDescent="0.3">
      <c r="A468" s="9"/>
      <c r="B468" s="37">
        <v>4.4842998393467859</v>
      </c>
      <c r="C468" s="9" t="s">
        <v>127</v>
      </c>
      <c r="D468" s="37">
        <v>30500</v>
      </c>
      <c r="E468" s="9">
        <v>-1.49</v>
      </c>
      <c r="F468" s="9">
        <v>163.15</v>
      </c>
      <c r="G468" s="9">
        <v>0</v>
      </c>
      <c r="H468" s="9">
        <v>1</v>
      </c>
      <c r="I468" s="9">
        <v>1.22</v>
      </c>
      <c r="J468" s="9">
        <v>0</v>
      </c>
      <c r="K468" s="39">
        <v>0.97570000000000001</v>
      </c>
      <c r="L468" s="39">
        <v>0.62324929039790045</v>
      </c>
      <c r="M468" s="9">
        <v>993</v>
      </c>
      <c r="N468" s="9">
        <v>7.6</v>
      </c>
      <c r="O468" s="9">
        <v>1.3</v>
      </c>
      <c r="P468" s="41">
        <v>24</v>
      </c>
    </row>
    <row r="469" spans="1:16" x14ac:dyDescent="0.3">
      <c r="A469" s="9"/>
      <c r="B469" s="37">
        <v>4.4593924877592306</v>
      </c>
      <c r="C469" s="9" t="s">
        <v>127</v>
      </c>
      <c r="D469" s="37">
        <v>28800</v>
      </c>
      <c r="E469" s="9">
        <v>-1.49</v>
      </c>
      <c r="F469" s="9">
        <v>163.15</v>
      </c>
      <c r="G469" s="9">
        <v>0</v>
      </c>
      <c r="H469" s="9">
        <v>1</v>
      </c>
      <c r="I469" s="9">
        <v>1.22</v>
      </c>
      <c r="J469" s="9">
        <v>0</v>
      </c>
      <c r="K469" s="39">
        <v>0.97570000000000001</v>
      </c>
      <c r="L469" s="39">
        <v>0.62324929039790045</v>
      </c>
      <c r="M469" s="9">
        <v>945</v>
      </c>
      <c r="N469" s="9">
        <v>6.6</v>
      </c>
      <c r="O469" s="9">
        <v>1.5</v>
      </c>
      <c r="P469" s="41">
        <v>24</v>
      </c>
    </row>
    <row r="470" spans="1:16" x14ac:dyDescent="0.3">
      <c r="A470" s="9"/>
      <c r="B470" s="37">
        <v>4.4305587695227571</v>
      </c>
      <c r="C470" s="9" t="s">
        <v>127</v>
      </c>
      <c r="D470" s="37">
        <v>26950</v>
      </c>
      <c r="E470" s="9">
        <v>-1.49</v>
      </c>
      <c r="F470" s="9">
        <v>163.15</v>
      </c>
      <c r="G470" s="9">
        <v>0</v>
      </c>
      <c r="H470" s="9">
        <v>1</v>
      </c>
      <c r="I470" s="9">
        <v>1.22</v>
      </c>
      <c r="J470" s="9">
        <v>0</v>
      </c>
      <c r="K470" s="39">
        <v>0.97570000000000001</v>
      </c>
      <c r="L470" s="39">
        <v>0.62324929039790045</v>
      </c>
      <c r="M470" s="9">
        <v>1047</v>
      </c>
      <c r="N470" s="9">
        <v>6.7</v>
      </c>
      <c r="O470" s="9">
        <v>1.65</v>
      </c>
      <c r="P470" s="41">
        <v>24</v>
      </c>
    </row>
    <row r="471" spans="1:16" x14ac:dyDescent="0.3">
      <c r="A471" s="9"/>
      <c r="B471" s="37">
        <v>4.0872488677956582</v>
      </c>
      <c r="C471" s="9" t="s">
        <v>127</v>
      </c>
      <c r="D471" s="37">
        <v>12225</v>
      </c>
      <c r="E471" s="9">
        <v>-1.49</v>
      </c>
      <c r="F471" s="9">
        <v>163.15</v>
      </c>
      <c r="G471" s="9">
        <v>0</v>
      </c>
      <c r="H471" s="9">
        <v>1</v>
      </c>
      <c r="I471" s="9">
        <v>1.22</v>
      </c>
      <c r="J471" s="9">
        <v>0</v>
      </c>
      <c r="K471" s="39">
        <v>0.97570000000000001</v>
      </c>
      <c r="L471" s="39">
        <v>0.62324929039790045</v>
      </c>
      <c r="M471" s="9">
        <v>982</v>
      </c>
      <c r="N471" s="9">
        <v>6.4</v>
      </c>
      <c r="O471" s="9">
        <v>2.9</v>
      </c>
      <c r="P471" s="41">
        <v>24</v>
      </c>
    </row>
    <row r="472" spans="1:16" x14ac:dyDescent="0.3">
      <c r="A472" s="9"/>
      <c r="B472" s="37">
        <v>4.1003705451175625</v>
      </c>
      <c r="C472" s="9" t="s">
        <v>64</v>
      </c>
      <c r="D472" s="37">
        <v>12600</v>
      </c>
      <c r="E472" s="9">
        <v>-1.43</v>
      </c>
      <c r="F472" s="9">
        <v>151.25</v>
      </c>
      <c r="G472" s="9">
        <v>1</v>
      </c>
      <c r="H472" s="9">
        <v>0</v>
      </c>
      <c r="I472" s="9">
        <v>-2.17</v>
      </c>
      <c r="J472" s="9">
        <v>0</v>
      </c>
      <c r="K472" s="9">
        <v>1.42</v>
      </c>
      <c r="L472" s="9">
        <v>3.12</v>
      </c>
      <c r="M472" s="9">
        <v>1054</v>
      </c>
      <c r="N472" s="9">
        <v>7.6</v>
      </c>
      <c r="O472" s="9">
        <v>0.6</v>
      </c>
      <c r="P472" s="41">
        <v>24</v>
      </c>
    </row>
    <row r="473" spans="1:16" x14ac:dyDescent="0.3">
      <c r="A473" s="9"/>
      <c r="B473" s="37">
        <v>4.3255977528600189</v>
      </c>
      <c r="C473" s="9" t="s">
        <v>64</v>
      </c>
      <c r="D473" s="37">
        <v>21164</v>
      </c>
      <c r="E473" s="9">
        <v>-1.43</v>
      </c>
      <c r="F473" s="9">
        <v>151.25</v>
      </c>
      <c r="G473" s="9">
        <v>1</v>
      </c>
      <c r="H473" s="9">
        <v>0</v>
      </c>
      <c r="I473" s="9">
        <v>-2.17</v>
      </c>
      <c r="J473" s="9">
        <v>0</v>
      </c>
      <c r="K473" s="9">
        <v>1.42</v>
      </c>
      <c r="L473" s="9">
        <v>3.12</v>
      </c>
      <c r="M473" s="9">
        <v>1003</v>
      </c>
      <c r="N473" s="9">
        <v>6.7</v>
      </c>
      <c r="O473" s="9">
        <v>0.56999999999999995</v>
      </c>
      <c r="P473" s="41">
        <v>24</v>
      </c>
    </row>
    <row r="474" spans="1:16" x14ac:dyDescent="0.3">
      <c r="A474" s="9"/>
      <c r="B474" s="37">
        <v>4.2185355052165274</v>
      </c>
      <c r="C474" s="9" t="s">
        <v>64</v>
      </c>
      <c r="D474" s="37">
        <v>16540</v>
      </c>
      <c r="E474" s="9">
        <v>-1.43</v>
      </c>
      <c r="F474" s="9">
        <v>151.25</v>
      </c>
      <c r="G474" s="9">
        <v>1</v>
      </c>
      <c r="H474" s="9">
        <v>0</v>
      </c>
      <c r="I474" s="9">
        <v>-2.17</v>
      </c>
      <c r="J474" s="9">
        <v>0</v>
      </c>
      <c r="K474" s="9">
        <v>1.42</v>
      </c>
      <c r="L474" s="9">
        <v>3.12</v>
      </c>
      <c r="M474" s="9">
        <v>993</v>
      </c>
      <c r="N474" s="9">
        <v>7.6</v>
      </c>
      <c r="O474" s="9">
        <v>1.3</v>
      </c>
      <c r="P474" s="41">
        <v>24</v>
      </c>
    </row>
    <row r="475" spans="1:16" x14ac:dyDescent="0.3">
      <c r="A475" s="9"/>
      <c r="B475" s="37">
        <v>4.2552725051033065</v>
      </c>
      <c r="C475" s="9" t="s">
        <v>64</v>
      </c>
      <c r="D475" s="37">
        <v>18000</v>
      </c>
      <c r="E475" s="9">
        <v>-1.43</v>
      </c>
      <c r="F475" s="9">
        <v>151.25</v>
      </c>
      <c r="G475" s="9">
        <v>1</v>
      </c>
      <c r="H475" s="9">
        <v>0</v>
      </c>
      <c r="I475" s="9">
        <v>-2.17</v>
      </c>
      <c r="J475" s="9">
        <v>0</v>
      </c>
      <c r="K475" s="9">
        <v>1.42</v>
      </c>
      <c r="L475" s="9">
        <v>3.12</v>
      </c>
      <c r="M475" s="9">
        <v>945</v>
      </c>
      <c r="N475" s="9">
        <v>6.6</v>
      </c>
      <c r="O475" s="9">
        <v>1.5</v>
      </c>
      <c r="P475" s="41">
        <v>24</v>
      </c>
    </row>
    <row r="476" spans="1:16" x14ac:dyDescent="0.3">
      <c r="A476" s="9"/>
      <c r="B476" s="37">
        <v>4.344392273685111</v>
      </c>
      <c r="C476" s="9" t="s">
        <v>64</v>
      </c>
      <c r="D476" s="37">
        <v>22100</v>
      </c>
      <c r="E476" s="9">
        <v>-1.43</v>
      </c>
      <c r="F476" s="9">
        <v>151.25</v>
      </c>
      <c r="G476" s="9">
        <v>1</v>
      </c>
      <c r="H476" s="9">
        <v>0</v>
      </c>
      <c r="I476" s="9">
        <v>-2.17</v>
      </c>
      <c r="J476" s="9">
        <v>0</v>
      </c>
      <c r="K476" s="9">
        <v>1.42</v>
      </c>
      <c r="L476" s="9">
        <v>3.12</v>
      </c>
      <c r="M476" s="9">
        <v>1047</v>
      </c>
      <c r="N476" s="9">
        <v>6.7</v>
      </c>
      <c r="O476" s="9">
        <v>1.65</v>
      </c>
      <c r="P476" s="41">
        <v>24</v>
      </c>
    </row>
    <row r="477" spans="1:16" x14ac:dyDescent="0.3">
      <c r="A477" s="9"/>
      <c r="B477" s="37">
        <v>4.3344537511509307</v>
      </c>
      <c r="C477" s="9" t="s">
        <v>64</v>
      </c>
      <c r="D477" s="37">
        <v>21600</v>
      </c>
      <c r="E477" s="9">
        <v>-1.43</v>
      </c>
      <c r="F477" s="9">
        <v>151.25</v>
      </c>
      <c r="G477" s="9">
        <v>1</v>
      </c>
      <c r="H477" s="9">
        <v>0</v>
      </c>
      <c r="I477" s="9">
        <v>-2.17</v>
      </c>
      <c r="J477" s="9">
        <v>0</v>
      </c>
      <c r="K477" s="9">
        <v>1.42</v>
      </c>
      <c r="L477" s="9">
        <v>3.12</v>
      </c>
      <c r="M477" s="9">
        <v>982</v>
      </c>
      <c r="N477" s="9">
        <v>6.4</v>
      </c>
      <c r="O477" s="9">
        <v>2.9</v>
      </c>
      <c r="P477" s="41">
        <v>24</v>
      </c>
    </row>
    <row r="478" spans="1:16" x14ac:dyDescent="0.3">
      <c r="A478" s="9"/>
      <c r="B478" s="37">
        <v>4.8411716944995318</v>
      </c>
      <c r="C478" s="9" t="s">
        <v>128</v>
      </c>
      <c r="D478" s="37">
        <v>69370</v>
      </c>
      <c r="E478" s="9">
        <v>1.38</v>
      </c>
      <c r="F478" s="9">
        <v>296.2</v>
      </c>
      <c r="G478" s="9">
        <v>0</v>
      </c>
      <c r="H478" s="9">
        <v>1</v>
      </c>
      <c r="I478" s="9">
        <v>-1.3</v>
      </c>
      <c r="J478" s="9">
        <v>2</v>
      </c>
      <c r="K478" s="9">
        <v>2.0699999999999998</v>
      </c>
      <c r="L478" s="9">
        <v>2.66</v>
      </c>
      <c r="M478" s="9">
        <v>993</v>
      </c>
      <c r="N478" s="9">
        <v>7.6</v>
      </c>
      <c r="O478" s="9">
        <v>1.3</v>
      </c>
      <c r="P478" s="41">
        <v>24</v>
      </c>
    </row>
    <row r="479" spans="1:16" x14ac:dyDescent="0.3">
      <c r="A479" s="9"/>
      <c r="B479" s="37">
        <v>4.8438554226231609</v>
      </c>
      <c r="C479" s="9" t="s">
        <v>128</v>
      </c>
      <c r="D479" s="37">
        <v>69800</v>
      </c>
      <c r="E479" s="9">
        <v>1.38</v>
      </c>
      <c r="F479" s="9">
        <v>296.2</v>
      </c>
      <c r="G479" s="9">
        <v>0</v>
      </c>
      <c r="H479" s="9">
        <v>1</v>
      </c>
      <c r="I479" s="9">
        <v>-1.3</v>
      </c>
      <c r="J479" s="9">
        <v>2</v>
      </c>
      <c r="K479" s="9">
        <v>2.0699999999999998</v>
      </c>
      <c r="L479" s="9">
        <v>2.66</v>
      </c>
      <c r="M479" s="9">
        <v>945</v>
      </c>
      <c r="N479" s="9">
        <v>6.6</v>
      </c>
      <c r="O479" s="9">
        <v>1.5</v>
      </c>
      <c r="P479" s="41">
        <v>24</v>
      </c>
    </row>
    <row r="480" spans="1:16" x14ac:dyDescent="0.3">
      <c r="A480" s="9"/>
      <c r="B480" s="37">
        <v>4.842609239610562</v>
      </c>
      <c r="C480" s="9" t="s">
        <v>128</v>
      </c>
      <c r="D480" s="37">
        <v>69600</v>
      </c>
      <c r="E480" s="9">
        <v>1.38</v>
      </c>
      <c r="F480" s="9">
        <v>296.2</v>
      </c>
      <c r="G480" s="9">
        <v>0</v>
      </c>
      <c r="H480" s="9">
        <v>1</v>
      </c>
      <c r="I480" s="9">
        <v>-1.3</v>
      </c>
      <c r="J480" s="9">
        <v>2</v>
      </c>
      <c r="K480" s="9">
        <v>2.0699999999999998</v>
      </c>
      <c r="L480" s="9">
        <v>2.66</v>
      </c>
      <c r="M480" s="9">
        <v>982</v>
      </c>
      <c r="N480" s="9">
        <v>6.4</v>
      </c>
      <c r="O480" s="9">
        <v>2.9</v>
      </c>
      <c r="P480" s="41">
        <v>24</v>
      </c>
    </row>
    <row r="481" spans="1:16" x14ac:dyDescent="0.3">
      <c r="A481" s="9"/>
      <c r="B481" s="37">
        <v>4.2810333672477272</v>
      </c>
      <c r="C481" s="9" t="s">
        <v>129</v>
      </c>
      <c r="D481" s="37">
        <v>19100</v>
      </c>
      <c r="E481" s="9">
        <v>-0.62</v>
      </c>
      <c r="F481" s="9">
        <v>613.91</v>
      </c>
      <c r="G481" s="9">
        <v>0</v>
      </c>
      <c r="H481" s="9">
        <v>1</v>
      </c>
      <c r="I481" s="9">
        <v>-3.82</v>
      </c>
      <c r="J481" s="9">
        <v>1</v>
      </c>
      <c r="K481" s="9">
        <v>2.34</v>
      </c>
      <c r="L481" s="40">
        <v>1</v>
      </c>
      <c r="M481" s="9">
        <v>1054</v>
      </c>
      <c r="N481" s="9">
        <v>7.6</v>
      </c>
      <c r="O481" s="9">
        <v>0.6</v>
      </c>
      <c r="P481" s="41">
        <v>24</v>
      </c>
    </row>
    <row r="482" spans="1:16" x14ac:dyDescent="0.3">
      <c r="A482" s="9"/>
      <c r="B482" s="37">
        <v>4.318063334962762</v>
      </c>
      <c r="C482" s="9" t="s">
        <v>129</v>
      </c>
      <c r="D482" s="37">
        <v>20800</v>
      </c>
      <c r="E482" s="9">
        <v>-0.62</v>
      </c>
      <c r="F482" s="9">
        <v>613.91</v>
      </c>
      <c r="G482" s="9">
        <v>0</v>
      </c>
      <c r="H482" s="9">
        <v>1</v>
      </c>
      <c r="I482" s="9">
        <v>-3.82</v>
      </c>
      <c r="J482" s="9">
        <v>1</v>
      </c>
      <c r="K482" s="9">
        <v>2.34</v>
      </c>
      <c r="L482" s="40">
        <v>1</v>
      </c>
      <c r="M482" s="9">
        <v>1003</v>
      </c>
      <c r="N482" s="9">
        <v>6.7</v>
      </c>
      <c r="O482" s="9">
        <v>0.56999999999999995</v>
      </c>
      <c r="P482" s="41">
        <v>24</v>
      </c>
    </row>
    <row r="483" spans="1:16" x14ac:dyDescent="0.3">
      <c r="A483" s="9"/>
      <c r="B483" s="37">
        <v>4.2648178230095368</v>
      </c>
      <c r="C483" s="9" t="s">
        <v>129</v>
      </c>
      <c r="D483" s="37">
        <v>18400</v>
      </c>
      <c r="E483" s="9">
        <v>-0.62</v>
      </c>
      <c r="F483" s="9">
        <v>613.91</v>
      </c>
      <c r="G483" s="9">
        <v>0</v>
      </c>
      <c r="H483" s="9">
        <v>1</v>
      </c>
      <c r="I483" s="9">
        <v>-3.82</v>
      </c>
      <c r="J483" s="9">
        <v>1</v>
      </c>
      <c r="K483" s="9">
        <v>2.34</v>
      </c>
      <c r="L483" s="40">
        <v>1</v>
      </c>
      <c r="M483" s="9">
        <v>993</v>
      </c>
      <c r="N483" s="9">
        <v>7.6</v>
      </c>
      <c r="O483" s="9">
        <v>1.3</v>
      </c>
      <c r="P483" s="41">
        <v>24</v>
      </c>
    </row>
    <row r="484" spans="1:16" x14ac:dyDescent="0.3">
      <c r="A484" s="9"/>
      <c r="B484" s="37">
        <v>4.2405492482825995</v>
      </c>
      <c r="C484" s="9" t="s">
        <v>129</v>
      </c>
      <c r="D484" s="37">
        <v>17400</v>
      </c>
      <c r="E484" s="9">
        <v>-0.62</v>
      </c>
      <c r="F484" s="9">
        <v>613.91</v>
      </c>
      <c r="G484" s="9">
        <v>0</v>
      </c>
      <c r="H484" s="9">
        <v>1</v>
      </c>
      <c r="I484" s="9">
        <v>-3.82</v>
      </c>
      <c r="J484" s="9">
        <v>1</v>
      </c>
      <c r="K484" s="9">
        <v>2.34</v>
      </c>
      <c r="L484" s="40">
        <v>1</v>
      </c>
      <c r="M484" s="9">
        <v>945</v>
      </c>
      <c r="N484" s="9">
        <v>6.6</v>
      </c>
      <c r="O484" s="9">
        <v>1.5</v>
      </c>
      <c r="P484" s="41">
        <v>24</v>
      </c>
    </row>
    <row r="485" spans="1:16" x14ac:dyDescent="0.3">
      <c r="A485" s="9"/>
      <c r="B485" s="37">
        <v>4.3324384599156049</v>
      </c>
      <c r="C485" s="9" t="s">
        <v>129</v>
      </c>
      <c r="D485" s="37">
        <v>21500</v>
      </c>
      <c r="E485" s="9">
        <v>-0.62</v>
      </c>
      <c r="F485" s="9">
        <v>613.91</v>
      </c>
      <c r="G485" s="9">
        <v>0</v>
      </c>
      <c r="H485" s="9">
        <v>1</v>
      </c>
      <c r="I485" s="9">
        <v>-3.82</v>
      </c>
      <c r="J485" s="9">
        <v>1</v>
      </c>
      <c r="K485" s="9">
        <v>2.34</v>
      </c>
      <c r="L485" s="40">
        <v>1</v>
      </c>
      <c r="M485" s="9">
        <v>1047</v>
      </c>
      <c r="N485" s="9">
        <v>6.7</v>
      </c>
      <c r="O485" s="9">
        <v>1.65</v>
      </c>
      <c r="P485" s="41">
        <v>24</v>
      </c>
    </row>
    <row r="486" spans="1:16" x14ac:dyDescent="0.3">
      <c r="A486" s="9"/>
      <c r="B486" s="37">
        <v>4.2944662261615933</v>
      </c>
      <c r="C486" s="9" t="s">
        <v>129</v>
      </c>
      <c r="D486" s="37">
        <v>19700</v>
      </c>
      <c r="E486" s="9">
        <v>-0.62</v>
      </c>
      <c r="F486" s="9">
        <v>613.91</v>
      </c>
      <c r="G486" s="9">
        <v>0</v>
      </c>
      <c r="H486" s="9">
        <v>1</v>
      </c>
      <c r="I486" s="9">
        <v>-3.82</v>
      </c>
      <c r="J486" s="9">
        <v>1</v>
      </c>
      <c r="K486" s="9">
        <v>2.34</v>
      </c>
      <c r="L486" s="40">
        <v>1</v>
      </c>
      <c r="M486" s="9">
        <v>982</v>
      </c>
      <c r="N486" s="9">
        <v>6.4</v>
      </c>
      <c r="O486" s="9">
        <v>2.9</v>
      </c>
      <c r="P486" s="41">
        <v>24</v>
      </c>
    </row>
    <row r="487" spans="1:16" x14ac:dyDescent="0.3">
      <c r="A487" s="9"/>
      <c r="B487" s="37">
        <v>4.8065191340807054</v>
      </c>
      <c r="C487" s="9" t="s">
        <v>130</v>
      </c>
      <c r="D487" s="37">
        <v>64049.999999999993</v>
      </c>
      <c r="E487" s="9">
        <v>1.1200000000000001</v>
      </c>
      <c r="F487" s="9">
        <v>218.26</v>
      </c>
      <c r="G487" s="9">
        <v>0</v>
      </c>
      <c r="H487" s="9">
        <v>0</v>
      </c>
      <c r="I487" s="9">
        <v>-1.93</v>
      </c>
      <c r="J487" s="9">
        <v>1</v>
      </c>
      <c r="K487" s="9">
        <v>1.77</v>
      </c>
      <c r="L487" s="9">
        <v>2.14</v>
      </c>
      <c r="M487" s="9">
        <v>1054</v>
      </c>
      <c r="N487" s="9">
        <v>7.6</v>
      </c>
      <c r="O487" s="9">
        <v>0.6</v>
      </c>
      <c r="P487" s="41">
        <v>24</v>
      </c>
    </row>
    <row r="488" spans="1:16" x14ac:dyDescent="0.3">
      <c r="A488" s="9"/>
      <c r="B488" s="37">
        <v>4.8173008783933211</v>
      </c>
      <c r="C488" s="9" t="s">
        <v>130</v>
      </c>
      <c r="D488" s="37">
        <v>65660</v>
      </c>
      <c r="E488" s="9">
        <v>1.1200000000000001</v>
      </c>
      <c r="F488" s="9">
        <v>218.26</v>
      </c>
      <c r="G488" s="9">
        <v>0</v>
      </c>
      <c r="H488" s="9">
        <v>0</v>
      </c>
      <c r="I488" s="9">
        <v>-1.93</v>
      </c>
      <c r="J488" s="9">
        <v>1</v>
      </c>
      <c r="K488" s="9">
        <v>1.77</v>
      </c>
      <c r="L488" s="9">
        <v>2.14</v>
      </c>
      <c r="M488" s="9">
        <v>1003</v>
      </c>
      <c r="N488" s="9">
        <v>6.7</v>
      </c>
      <c r="O488" s="9">
        <v>0.56999999999999995</v>
      </c>
      <c r="P488" s="41">
        <v>24</v>
      </c>
    </row>
    <row r="489" spans="1:16" x14ac:dyDescent="0.3">
      <c r="A489" s="9"/>
      <c r="B489" s="37">
        <v>4.8017466192194602</v>
      </c>
      <c r="C489" s="9" t="s">
        <v>130</v>
      </c>
      <c r="D489" s="37">
        <v>63349.999999999993</v>
      </c>
      <c r="E489" s="9">
        <v>1.1200000000000001</v>
      </c>
      <c r="F489" s="9">
        <v>218.26</v>
      </c>
      <c r="G489" s="9">
        <v>0</v>
      </c>
      <c r="H489" s="9">
        <v>0</v>
      </c>
      <c r="I489" s="9">
        <v>-1.93</v>
      </c>
      <c r="J489" s="9">
        <v>1</v>
      </c>
      <c r="K489" s="9">
        <v>1.77</v>
      </c>
      <c r="L489" s="9">
        <v>2.14</v>
      </c>
      <c r="M489" s="9">
        <v>993</v>
      </c>
      <c r="N489" s="9">
        <v>7.6</v>
      </c>
      <c r="O489" s="9">
        <v>1.3</v>
      </c>
      <c r="P489" s="41">
        <v>24</v>
      </c>
    </row>
    <row r="490" spans="1:16" x14ac:dyDescent="0.3">
      <c r="A490" s="9"/>
      <c r="B490" s="37">
        <v>4.8186876634415139</v>
      </c>
      <c r="C490" s="9" t="s">
        <v>130</v>
      </c>
      <c r="D490" s="37">
        <v>65870</v>
      </c>
      <c r="E490" s="9">
        <v>1.1200000000000001</v>
      </c>
      <c r="F490" s="9">
        <v>218.26</v>
      </c>
      <c r="G490" s="9">
        <v>0</v>
      </c>
      <c r="H490" s="9">
        <v>0</v>
      </c>
      <c r="I490" s="9">
        <v>-1.93</v>
      </c>
      <c r="J490" s="9">
        <v>1</v>
      </c>
      <c r="K490" s="9">
        <v>1.77</v>
      </c>
      <c r="L490" s="9">
        <v>2.14</v>
      </c>
      <c r="M490" s="9">
        <v>945</v>
      </c>
      <c r="N490" s="9">
        <v>6.6</v>
      </c>
      <c r="O490" s="9">
        <v>1.5</v>
      </c>
      <c r="P490" s="41">
        <v>24</v>
      </c>
    </row>
    <row r="491" spans="1:16" x14ac:dyDescent="0.3">
      <c r="A491" s="9"/>
      <c r="B491" s="37">
        <v>4.8323172699222621</v>
      </c>
      <c r="C491" s="9" t="s">
        <v>130</v>
      </c>
      <c r="D491" s="37">
        <v>67970</v>
      </c>
      <c r="E491" s="9">
        <v>1.1200000000000001</v>
      </c>
      <c r="F491" s="9">
        <v>218.26</v>
      </c>
      <c r="G491" s="9">
        <v>0</v>
      </c>
      <c r="H491" s="9">
        <v>0</v>
      </c>
      <c r="I491" s="9">
        <v>-1.93</v>
      </c>
      <c r="J491" s="9">
        <v>1</v>
      </c>
      <c r="K491" s="9">
        <v>1.77</v>
      </c>
      <c r="L491" s="9">
        <v>2.14</v>
      </c>
      <c r="M491" s="9">
        <v>1047</v>
      </c>
      <c r="N491" s="9">
        <v>6.7</v>
      </c>
      <c r="O491" s="9">
        <v>1.65</v>
      </c>
      <c r="P491" s="41">
        <v>24</v>
      </c>
    </row>
    <row r="492" spans="1:16" x14ac:dyDescent="0.3">
      <c r="A492" s="9"/>
      <c r="B492" s="37">
        <v>4.7816117824931501</v>
      </c>
      <c r="C492" s="9" t="s">
        <v>130</v>
      </c>
      <c r="D492" s="37">
        <v>60480</v>
      </c>
      <c r="E492" s="9">
        <v>1.1200000000000001</v>
      </c>
      <c r="F492" s="9">
        <v>218.26</v>
      </c>
      <c r="G492" s="9">
        <v>0</v>
      </c>
      <c r="H492" s="9">
        <v>0</v>
      </c>
      <c r="I492" s="9">
        <v>-1.93</v>
      </c>
      <c r="J492" s="9">
        <v>1</v>
      </c>
      <c r="K492" s="9">
        <v>1.77</v>
      </c>
      <c r="L492" s="9">
        <v>2.14</v>
      </c>
      <c r="M492" s="9">
        <v>982</v>
      </c>
      <c r="N492" s="9">
        <v>6.4</v>
      </c>
      <c r="O492" s="9">
        <v>2.9</v>
      </c>
      <c r="P492" s="41">
        <v>24</v>
      </c>
    </row>
    <row r="493" spans="1:16" x14ac:dyDescent="0.3">
      <c r="A493" s="9"/>
      <c r="B493" s="37">
        <v>4.6632296345328674</v>
      </c>
      <c r="C493" s="9" t="s">
        <v>131</v>
      </c>
      <c r="D493" s="37">
        <v>46050</v>
      </c>
      <c r="E493" s="9">
        <v>-0.49</v>
      </c>
      <c r="F493" s="9">
        <v>183.18</v>
      </c>
      <c r="G493" s="9">
        <v>0</v>
      </c>
      <c r="H493" s="9">
        <v>1</v>
      </c>
      <c r="I493" s="9">
        <v>0.24</v>
      </c>
      <c r="J493" s="9">
        <v>1</v>
      </c>
      <c r="K493" s="9">
        <v>1.18</v>
      </c>
      <c r="L493" s="40">
        <v>1</v>
      </c>
      <c r="M493" s="9">
        <v>1054</v>
      </c>
      <c r="N493" s="9">
        <v>7.6</v>
      </c>
      <c r="O493" s="9">
        <v>0.6</v>
      </c>
      <c r="P493" s="41">
        <v>24</v>
      </c>
    </row>
    <row r="494" spans="1:16" x14ac:dyDescent="0.3">
      <c r="A494" s="9"/>
      <c r="B494" s="37">
        <v>4.6771505212734326</v>
      </c>
      <c r="C494" s="9" t="s">
        <v>131</v>
      </c>
      <c r="D494" s="37">
        <v>47549.999999999993</v>
      </c>
      <c r="E494" s="9">
        <v>-0.49</v>
      </c>
      <c r="F494" s="9">
        <v>183.18</v>
      </c>
      <c r="G494" s="9">
        <v>0</v>
      </c>
      <c r="H494" s="9">
        <v>1</v>
      </c>
      <c r="I494" s="9">
        <v>0.24</v>
      </c>
      <c r="J494" s="9">
        <v>1</v>
      </c>
      <c r="K494" s="9">
        <v>1.18</v>
      </c>
      <c r="L494" s="40">
        <v>1</v>
      </c>
      <c r="M494" s="9">
        <v>1003</v>
      </c>
      <c r="N494" s="9">
        <v>6.7</v>
      </c>
      <c r="O494" s="9">
        <v>0.56999999999999995</v>
      </c>
      <c r="P494" s="41">
        <v>24</v>
      </c>
    </row>
    <row r="495" spans="1:16" x14ac:dyDescent="0.3">
      <c r="A495" s="9"/>
      <c r="B495" s="37">
        <v>4.6679196853173615</v>
      </c>
      <c r="C495" s="9" t="s">
        <v>131</v>
      </c>
      <c r="D495" s="37">
        <v>46550</v>
      </c>
      <c r="E495" s="9">
        <v>-0.49</v>
      </c>
      <c r="F495" s="9">
        <v>183.18</v>
      </c>
      <c r="G495" s="9">
        <v>0</v>
      </c>
      <c r="H495" s="9">
        <v>1</v>
      </c>
      <c r="I495" s="9">
        <v>0.24</v>
      </c>
      <c r="J495" s="9">
        <v>1</v>
      </c>
      <c r="K495" s="9">
        <v>1.18</v>
      </c>
      <c r="L495" s="40">
        <v>1</v>
      </c>
      <c r="M495" s="9">
        <v>993</v>
      </c>
      <c r="N495" s="9">
        <v>7.6</v>
      </c>
      <c r="O495" s="9">
        <v>1.3</v>
      </c>
      <c r="P495" s="41">
        <v>24</v>
      </c>
    </row>
    <row r="496" spans="1:16" x14ac:dyDescent="0.3">
      <c r="A496" s="9"/>
      <c r="B496" s="37">
        <v>4.678062904974345</v>
      </c>
      <c r="C496" s="9" t="s">
        <v>131</v>
      </c>
      <c r="D496" s="37">
        <v>47650</v>
      </c>
      <c r="E496" s="9">
        <v>-0.49</v>
      </c>
      <c r="F496" s="9">
        <v>183.18</v>
      </c>
      <c r="G496" s="9">
        <v>0</v>
      </c>
      <c r="H496" s="9">
        <v>1</v>
      </c>
      <c r="I496" s="9">
        <v>0.24</v>
      </c>
      <c r="J496" s="9">
        <v>1</v>
      </c>
      <c r="K496" s="9">
        <v>1.18</v>
      </c>
      <c r="L496" s="40">
        <v>1</v>
      </c>
      <c r="M496" s="9">
        <v>945</v>
      </c>
      <c r="N496" s="9">
        <v>6.6</v>
      </c>
      <c r="O496" s="9">
        <v>1.5</v>
      </c>
      <c r="P496" s="41">
        <v>24</v>
      </c>
    </row>
    <row r="497" spans="1:16" x14ac:dyDescent="0.3">
      <c r="A497" s="9"/>
      <c r="B497" s="37">
        <v>4.6807886115066824</v>
      </c>
      <c r="C497" s="9" t="s">
        <v>131</v>
      </c>
      <c r="D497" s="37">
        <v>47950</v>
      </c>
      <c r="E497" s="9">
        <v>-0.49</v>
      </c>
      <c r="F497" s="9">
        <v>183.18</v>
      </c>
      <c r="G497" s="9">
        <v>0</v>
      </c>
      <c r="H497" s="9">
        <v>1</v>
      </c>
      <c r="I497" s="9">
        <v>0.24</v>
      </c>
      <c r="J497" s="9">
        <v>1</v>
      </c>
      <c r="K497" s="9">
        <v>1.18</v>
      </c>
      <c r="L497" s="40">
        <v>1</v>
      </c>
      <c r="M497" s="9">
        <v>1047</v>
      </c>
      <c r="N497" s="9">
        <v>6.7</v>
      </c>
      <c r="O497" s="9">
        <v>1.65</v>
      </c>
      <c r="P497" s="41">
        <v>24</v>
      </c>
    </row>
    <row r="498" spans="1:16" x14ac:dyDescent="0.3">
      <c r="A498" s="9"/>
      <c r="B498" s="37">
        <v>4.6299190355035416</v>
      </c>
      <c r="C498" s="9" t="s">
        <v>131</v>
      </c>
      <c r="D498" s="37">
        <v>42650</v>
      </c>
      <c r="E498" s="9">
        <v>-0.49</v>
      </c>
      <c r="F498" s="9">
        <v>183.18</v>
      </c>
      <c r="G498" s="9">
        <v>0</v>
      </c>
      <c r="H498" s="9">
        <v>1</v>
      </c>
      <c r="I498" s="9">
        <v>0.24</v>
      </c>
      <c r="J498" s="9">
        <v>1</v>
      </c>
      <c r="K498" s="9">
        <v>1.18</v>
      </c>
      <c r="L498" s="40">
        <v>1</v>
      </c>
      <c r="M498" s="9">
        <v>982</v>
      </c>
      <c r="N498" s="9">
        <v>6.4</v>
      </c>
      <c r="O498" s="9">
        <v>2.9</v>
      </c>
      <c r="P498" s="41">
        <v>24</v>
      </c>
    </row>
    <row r="499" spans="1:16" x14ac:dyDescent="0.3">
      <c r="A499" s="9"/>
      <c r="B499" s="37">
        <v>4.7271344237604884</v>
      </c>
      <c r="C499" s="9" t="s">
        <v>132</v>
      </c>
      <c r="D499" s="37">
        <v>53349.999999999993</v>
      </c>
      <c r="E499" s="9">
        <v>0.14000000000000001</v>
      </c>
      <c r="F499" s="9">
        <v>253.28</v>
      </c>
      <c r="G499" s="9">
        <v>0</v>
      </c>
      <c r="H499" s="9">
        <v>1</v>
      </c>
      <c r="I499" s="9">
        <v>-1.03</v>
      </c>
      <c r="J499" s="9">
        <v>1</v>
      </c>
      <c r="K499" s="9">
        <v>1.72</v>
      </c>
      <c r="L499" s="38">
        <v>2.4149733479708178</v>
      </c>
      <c r="M499" s="9">
        <v>1054</v>
      </c>
      <c r="N499" s="9">
        <v>7.6</v>
      </c>
      <c r="O499" s="9">
        <v>0.6</v>
      </c>
      <c r="P499" s="41">
        <v>24</v>
      </c>
    </row>
    <row r="500" spans="1:16" x14ac:dyDescent="0.3">
      <c r="A500" s="9"/>
      <c r="B500" s="37">
        <v>4.7194555901325703</v>
      </c>
      <c r="C500" s="9" t="s">
        <v>132</v>
      </c>
      <c r="D500" s="37">
        <v>52415</v>
      </c>
      <c r="E500" s="9">
        <v>0.14000000000000001</v>
      </c>
      <c r="F500" s="9">
        <v>253.28</v>
      </c>
      <c r="G500" s="9">
        <v>0</v>
      </c>
      <c r="H500" s="9">
        <v>1</v>
      </c>
      <c r="I500" s="9">
        <v>-1.03</v>
      </c>
      <c r="J500" s="9">
        <v>1</v>
      </c>
      <c r="K500" s="9">
        <v>1.72</v>
      </c>
      <c r="L500" s="38">
        <v>2.4149733479708178</v>
      </c>
      <c r="M500" s="9">
        <v>1003</v>
      </c>
      <c r="N500" s="9">
        <v>6.7</v>
      </c>
      <c r="O500" s="9">
        <v>0.56999999999999995</v>
      </c>
      <c r="P500" s="41">
        <v>24</v>
      </c>
    </row>
    <row r="501" spans="1:16" x14ac:dyDescent="0.3">
      <c r="A501" s="9"/>
      <c r="B501" s="37">
        <v>4.7239889766187781</v>
      </c>
      <c r="C501" s="9" t="s">
        <v>132</v>
      </c>
      <c r="D501" s="37">
        <v>52965.000000000007</v>
      </c>
      <c r="E501" s="9">
        <v>0.14000000000000001</v>
      </c>
      <c r="F501" s="9">
        <v>253.28</v>
      </c>
      <c r="G501" s="9">
        <v>0</v>
      </c>
      <c r="H501" s="9">
        <v>1</v>
      </c>
      <c r="I501" s="9">
        <v>-1.03</v>
      </c>
      <c r="J501" s="9">
        <v>1</v>
      </c>
      <c r="K501" s="9">
        <v>1.72</v>
      </c>
      <c r="L501" s="38">
        <v>2.4149733479708178</v>
      </c>
      <c r="M501" s="9">
        <v>993</v>
      </c>
      <c r="N501" s="9">
        <v>7.6</v>
      </c>
      <c r="O501" s="9">
        <v>1.3</v>
      </c>
      <c r="P501" s="41">
        <v>24</v>
      </c>
    </row>
    <row r="502" spans="1:16" x14ac:dyDescent="0.3">
      <c r="A502" s="9"/>
      <c r="B502" s="37">
        <v>4.7253398159097371</v>
      </c>
      <c r="C502" s="9" t="s">
        <v>132</v>
      </c>
      <c r="D502" s="37">
        <v>53130</v>
      </c>
      <c r="E502" s="9">
        <v>0.14000000000000001</v>
      </c>
      <c r="F502" s="9">
        <v>253.28</v>
      </c>
      <c r="G502" s="9">
        <v>0</v>
      </c>
      <c r="H502" s="9">
        <v>1</v>
      </c>
      <c r="I502" s="9">
        <v>-1.03</v>
      </c>
      <c r="J502" s="9">
        <v>1</v>
      </c>
      <c r="K502" s="9">
        <v>1.72</v>
      </c>
      <c r="L502" s="38">
        <v>2.4149733479708178</v>
      </c>
      <c r="M502" s="9">
        <v>945</v>
      </c>
      <c r="N502" s="9">
        <v>6.6</v>
      </c>
      <c r="O502" s="9">
        <v>1.5</v>
      </c>
      <c r="P502" s="41">
        <v>24</v>
      </c>
    </row>
    <row r="503" spans="1:16" x14ac:dyDescent="0.3">
      <c r="A503" s="9"/>
      <c r="B503" s="37">
        <v>4.7351196340818715</v>
      </c>
      <c r="C503" s="9" t="s">
        <v>132</v>
      </c>
      <c r="D503" s="37">
        <v>54340</v>
      </c>
      <c r="E503" s="9">
        <v>0.14000000000000001</v>
      </c>
      <c r="F503" s="9">
        <v>253.28</v>
      </c>
      <c r="G503" s="9">
        <v>0</v>
      </c>
      <c r="H503" s="9">
        <v>1</v>
      </c>
      <c r="I503" s="9">
        <v>-1.03</v>
      </c>
      <c r="J503" s="9">
        <v>1</v>
      </c>
      <c r="K503" s="9">
        <v>1.72</v>
      </c>
      <c r="L503" s="38">
        <v>2.4149733479708178</v>
      </c>
      <c r="M503" s="9">
        <v>1047</v>
      </c>
      <c r="N503" s="9">
        <v>6.7</v>
      </c>
      <c r="O503" s="9">
        <v>1.65</v>
      </c>
      <c r="P503" s="41">
        <v>24</v>
      </c>
    </row>
    <row r="504" spans="1:16" x14ac:dyDescent="0.3">
      <c r="A504" s="9"/>
      <c r="B504" s="37">
        <v>4.6768764319731373</v>
      </c>
      <c r="C504" s="9" t="s">
        <v>132</v>
      </c>
      <c r="D504" s="37">
        <v>47520</v>
      </c>
      <c r="E504" s="9">
        <v>0.14000000000000001</v>
      </c>
      <c r="F504" s="9">
        <v>253.28</v>
      </c>
      <c r="G504" s="9">
        <v>0</v>
      </c>
      <c r="H504" s="9">
        <v>1</v>
      </c>
      <c r="I504" s="9">
        <v>-1.03</v>
      </c>
      <c r="J504" s="9">
        <v>1</v>
      </c>
      <c r="K504" s="9">
        <v>1.72</v>
      </c>
      <c r="L504" s="38">
        <v>2.4149733479708178</v>
      </c>
      <c r="M504" s="9">
        <v>982</v>
      </c>
      <c r="N504" s="9">
        <v>6.4</v>
      </c>
      <c r="O504" s="9">
        <v>2.9</v>
      </c>
      <c r="P504" s="41">
        <v>24</v>
      </c>
    </row>
    <row r="505" spans="1:16" x14ac:dyDescent="0.3">
      <c r="A505" s="9"/>
      <c r="B505" s="37">
        <v>4.7865029800701127</v>
      </c>
      <c r="C505" s="9" t="s">
        <v>133</v>
      </c>
      <c r="D505" s="37">
        <v>61165.000000000007</v>
      </c>
      <c r="E505" s="9">
        <v>-0.93</v>
      </c>
      <c r="F505" s="9">
        <v>266.25</v>
      </c>
      <c r="G505" s="9">
        <v>0</v>
      </c>
      <c r="H505" s="9">
        <v>1</v>
      </c>
      <c r="I505" s="9">
        <v>-0.42</v>
      </c>
      <c r="J505" s="9">
        <v>2</v>
      </c>
      <c r="K505" s="9">
        <v>1.88</v>
      </c>
      <c r="L505" s="9">
        <v>2.86</v>
      </c>
      <c r="M505" s="9">
        <v>1054</v>
      </c>
      <c r="N505" s="9">
        <v>7.6</v>
      </c>
      <c r="O505" s="9">
        <v>0.6</v>
      </c>
      <c r="P505" s="41">
        <v>24</v>
      </c>
    </row>
    <row r="506" spans="1:16" x14ac:dyDescent="0.3">
      <c r="A506" s="9"/>
      <c r="B506" s="37">
        <v>4.8001325865508608</v>
      </c>
      <c r="C506" s="9" t="s">
        <v>133</v>
      </c>
      <c r="D506" s="37">
        <v>63115.000000000007</v>
      </c>
      <c r="E506" s="9">
        <v>-0.93</v>
      </c>
      <c r="F506" s="9">
        <v>266.25</v>
      </c>
      <c r="G506" s="9">
        <v>0</v>
      </c>
      <c r="H506" s="9">
        <v>1</v>
      </c>
      <c r="I506" s="9">
        <v>-0.42</v>
      </c>
      <c r="J506" s="9">
        <v>2</v>
      </c>
      <c r="K506" s="9">
        <v>1.88</v>
      </c>
      <c r="L506" s="9">
        <v>2.86</v>
      </c>
      <c r="M506" s="9">
        <v>1003</v>
      </c>
      <c r="N506" s="9">
        <v>6.7</v>
      </c>
      <c r="O506" s="9">
        <v>0.56999999999999995</v>
      </c>
      <c r="P506" s="41">
        <v>24</v>
      </c>
    </row>
    <row r="507" spans="1:16" x14ac:dyDescent="0.3">
      <c r="A507" s="9"/>
      <c r="B507" s="37">
        <v>4.7809290706364971</v>
      </c>
      <c r="C507" s="9" t="s">
        <v>133</v>
      </c>
      <c r="D507" s="37">
        <v>60385</v>
      </c>
      <c r="E507" s="9">
        <v>-0.93</v>
      </c>
      <c r="F507" s="9">
        <v>266.25</v>
      </c>
      <c r="G507" s="9">
        <v>0</v>
      </c>
      <c r="H507" s="9">
        <v>1</v>
      </c>
      <c r="I507" s="9">
        <v>-0.42</v>
      </c>
      <c r="J507" s="9">
        <v>2</v>
      </c>
      <c r="K507" s="9">
        <v>1.88</v>
      </c>
      <c r="L507" s="9">
        <v>2.86</v>
      </c>
      <c r="M507" s="9">
        <v>993</v>
      </c>
      <c r="N507" s="9">
        <v>7.6</v>
      </c>
      <c r="O507" s="9">
        <v>1.3</v>
      </c>
      <c r="P507" s="41">
        <v>24</v>
      </c>
    </row>
    <row r="508" spans="1:16" x14ac:dyDescent="0.3">
      <c r="A508" s="9"/>
      <c r="B508" s="37">
        <v>4.7748088303107057</v>
      </c>
      <c r="C508" s="9" t="s">
        <v>133</v>
      </c>
      <c r="D508" s="37">
        <v>59540</v>
      </c>
      <c r="E508" s="9">
        <v>-0.93</v>
      </c>
      <c r="F508" s="9">
        <v>266.25</v>
      </c>
      <c r="G508" s="9">
        <v>0</v>
      </c>
      <c r="H508" s="9">
        <v>1</v>
      </c>
      <c r="I508" s="9">
        <v>-0.42</v>
      </c>
      <c r="J508" s="9">
        <v>2</v>
      </c>
      <c r="K508" s="9">
        <v>1.88</v>
      </c>
      <c r="L508" s="9">
        <v>2.86</v>
      </c>
      <c r="M508" s="9">
        <v>945</v>
      </c>
      <c r="N508" s="9">
        <v>6.6</v>
      </c>
      <c r="O508" s="9">
        <v>1.5</v>
      </c>
      <c r="P508" s="41">
        <v>24</v>
      </c>
    </row>
    <row r="509" spans="1:16" x14ac:dyDescent="0.3">
      <c r="A509" s="9"/>
      <c r="B509" s="37">
        <v>4.8111726950665545</v>
      </c>
      <c r="C509" s="9" t="s">
        <v>133</v>
      </c>
      <c r="D509" s="37">
        <v>64739.999999999993</v>
      </c>
      <c r="E509" s="9">
        <v>-0.93</v>
      </c>
      <c r="F509" s="9">
        <v>266.25</v>
      </c>
      <c r="G509" s="9">
        <v>0</v>
      </c>
      <c r="H509" s="9">
        <v>1</v>
      </c>
      <c r="I509" s="9">
        <v>-0.42</v>
      </c>
      <c r="J509" s="9">
        <v>2</v>
      </c>
      <c r="K509" s="9">
        <v>1.88</v>
      </c>
      <c r="L509" s="9">
        <v>2.86</v>
      </c>
      <c r="M509" s="9">
        <v>1047</v>
      </c>
      <c r="N509" s="9">
        <v>6.7</v>
      </c>
      <c r="O509" s="9">
        <v>1.65</v>
      </c>
      <c r="P509" s="41">
        <v>24</v>
      </c>
    </row>
    <row r="510" spans="1:16" x14ac:dyDescent="0.3">
      <c r="A510" s="9"/>
      <c r="B510" s="37">
        <v>4.7771729868397044</v>
      </c>
      <c r="C510" s="9" t="s">
        <v>133</v>
      </c>
      <c r="D510" s="37">
        <v>59865</v>
      </c>
      <c r="E510" s="9">
        <v>-0.93</v>
      </c>
      <c r="F510" s="9">
        <v>266.25</v>
      </c>
      <c r="G510" s="9">
        <v>0</v>
      </c>
      <c r="H510" s="9">
        <v>1</v>
      </c>
      <c r="I510" s="9">
        <v>-0.42</v>
      </c>
      <c r="J510" s="9">
        <v>2</v>
      </c>
      <c r="K510" s="9">
        <v>1.88</v>
      </c>
      <c r="L510" s="9">
        <v>2.86</v>
      </c>
      <c r="M510" s="9">
        <v>982</v>
      </c>
      <c r="N510" s="9">
        <v>6.4</v>
      </c>
      <c r="O510" s="9">
        <v>2.9</v>
      </c>
      <c r="P510" s="41">
        <v>24</v>
      </c>
    </row>
    <row r="511" spans="1:16" x14ac:dyDescent="0.3">
      <c r="A511" s="9"/>
      <c r="B511" s="37">
        <v>4.2008778457490257</v>
      </c>
      <c r="C511" s="9" t="s">
        <v>1</v>
      </c>
      <c r="D511" s="37">
        <f>10^B511</f>
        <v>15881.000000000022</v>
      </c>
      <c r="E511" s="9">
        <v>-1.22</v>
      </c>
      <c r="F511" s="9">
        <v>214.03899999999999</v>
      </c>
      <c r="G511" s="9">
        <v>0</v>
      </c>
      <c r="H511" s="9">
        <v>1</v>
      </c>
      <c r="I511" s="9">
        <v>-2.82</v>
      </c>
      <c r="J511" s="9">
        <v>0</v>
      </c>
      <c r="K511" s="39">
        <v>0.87050000000000005</v>
      </c>
      <c r="L511" s="9">
        <v>1.81</v>
      </c>
      <c r="M511" s="9">
        <v>1283</v>
      </c>
      <c r="N511" s="9">
        <v>9.41</v>
      </c>
      <c r="O511" s="9">
        <v>0.96</v>
      </c>
      <c r="P511" s="10" t="s">
        <v>144</v>
      </c>
    </row>
    <row r="512" spans="1:16" x14ac:dyDescent="0.3">
      <c r="A512" s="9"/>
      <c r="B512" s="37">
        <v>7.0501831519424201</v>
      </c>
      <c r="C512" s="9" t="s">
        <v>48</v>
      </c>
      <c r="D512" s="37">
        <f t="shared" ref="D512:D533" si="0">10^B512</f>
        <v>11224917.350043327</v>
      </c>
      <c r="E512" s="9">
        <v>1.38</v>
      </c>
      <c r="F512" s="9">
        <v>296.2</v>
      </c>
      <c r="G512" s="9">
        <v>0</v>
      </c>
      <c r="H512" s="9">
        <v>1</v>
      </c>
      <c r="I512" s="9">
        <v>-1.3</v>
      </c>
      <c r="J512" s="9">
        <v>2</v>
      </c>
      <c r="K512" s="9">
        <v>2.0699999999999998</v>
      </c>
      <c r="L512" s="9">
        <v>2.66</v>
      </c>
      <c r="M512" s="9">
        <v>1283</v>
      </c>
      <c r="N512" s="9">
        <v>9.41</v>
      </c>
      <c r="O512" s="9">
        <v>0.96</v>
      </c>
      <c r="P512" s="10" t="s">
        <v>144</v>
      </c>
    </row>
    <row r="513" spans="1:16" x14ac:dyDescent="0.3">
      <c r="A513" s="9"/>
      <c r="B513" s="37">
        <v>6.5012999999999996</v>
      </c>
      <c r="C513" s="9" t="s">
        <v>136</v>
      </c>
      <c r="D513" s="37">
        <f t="shared" si="0"/>
        <v>3171757.6790677099</v>
      </c>
      <c r="E513" s="9">
        <v>-0.93</v>
      </c>
      <c r="F513" s="9">
        <v>266.25</v>
      </c>
      <c r="G513" s="9">
        <v>0</v>
      </c>
      <c r="H513" s="9">
        <v>1</v>
      </c>
      <c r="I513" s="9">
        <v>-0.42</v>
      </c>
      <c r="J513" s="9">
        <v>2</v>
      </c>
      <c r="K513" s="9">
        <v>1.88</v>
      </c>
      <c r="L513" s="9">
        <v>2.86</v>
      </c>
      <c r="M513" s="9">
        <v>1283</v>
      </c>
      <c r="N513" s="9">
        <v>9.41</v>
      </c>
      <c r="O513" s="9">
        <v>0.96</v>
      </c>
      <c r="P513" s="10" t="s">
        <v>144</v>
      </c>
    </row>
    <row r="514" spans="1:16" x14ac:dyDescent="0.3">
      <c r="A514" s="9"/>
      <c r="B514" s="37">
        <v>4.5999999999999996</v>
      </c>
      <c r="C514" s="9" t="s">
        <v>137</v>
      </c>
      <c r="D514" s="37">
        <f t="shared" si="0"/>
        <v>39810.717055349742</v>
      </c>
      <c r="E514" s="9">
        <v>-1.72</v>
      </c>
      <c r="F514" s="9">
        <v>99.177000000000007</v>
      </c>
      <c r="G514" s="9">
        <v>1</v>
      </c>
      <c r="H514" s="9">
        <v>0</v>
      </c>
      <c r="I514" s="9">
        <v>1.03</v>
      </c>
      <c r="J514" s="9">
        <v>0</v>
      </c>
      <c r="K514" s="39">
        <v>0.94520000000000004</v>
      </c>
      <c r="L514" s="38">
        <v>2.1583624920952498</v>
      </c>
      <c r="M514" s="9">
        <v>1283</v>
      </c>
      <c r="N514" s="9">
        <v>9.41</v>
      </c>
      <c r="O514" s="9">
        <v>0.96</v>
      </c>
      <c r="P514" s="10" t="s">
        <v>144</v>
      </c>
    </row>
    <row r="515" spans="1:16" x14ac:dyDescent="0.3">
      <c r="A515" s="9"/>
      <c r="B515" s="37">
        <v>6.0473569055951923</v>
      </c>
      <c r="C515" s="9" t="s">
        <v>138</v>
      </c>
      <c r="D515" s="37">
        <f t="shared" si="0"/>
        <v>1115210.6433519698</v>
      </c>
      <c r="E515" s="9">
        <v>1.29</v>
      </c>
      <c r="F515" s="9">
        <v>119.127</v>
      </c>
      <c r="G515" s="9">
        <v>0</v>
      </c>
      <c r="H515" s="9">
        <v>0</v>
      </c>
      <c r="I515" s="9">
        <v>-1.21</v>
      </c>
      <c r="J515" s="9">
        <v>1</v>
      </c>
      <c r="K515" s="39">
        <v>0.86419999999999997</v>
      </c>
      <c r="L515" s="38">
        <v>2.173186268412274</v>
      </c>
      <c r="M515" s="9">
        <v>1283</v>
      </c>
      <c r="N515" s="9">
        <v>9.41</v>
      </c>
      <c r="O515" s="9">
        <v>0.96</v>
      </c>
      <c r="P515" s="10" t="s">
        <v>144</v>
      </c>
    </row>
    <row r="516" spans="1:16" x14ac:dyDescent="0.3">
      <c r="A516" s="9"/>
      <c r="B516" s="37">
        <v>4.42</v>
      </c>
      <c r="C516" s="9" t="s">
        <v>139</v>
      </c>
      <c r="D516" s="37">
        <f t="shared" si="0"/>
        <v>26302.679918953829</v>
      </c>
      <c r="E516" s="9">
        <v>-3.93</v>
      </c>
      <c r="F516" s="9">
        <v>102.09699999999999</v>
      </c>
      <c r="G516" s="9">
        <v>1</v>
      </c>
      <c r="H516" s="9">
        <v>0</v>
      </c>
      <c r="I516" s="9">
        <v>2.2799999999999998</v>
      </c>
      <c r="J516" s="9">
        <v>0</v>
      </c>
      <c r="K516" s="39">
        <v>0.76229999999999998</v>
      </c>
      <c r="L516" s="38">
        <v>1.8000293592441343</v>
      </c>
      <c r="M516" s="9">
        <v>1283</v>
      </c>
      <c r="N516" s="9">
        <v>9.41</v>
      </c>
      <c r="O516" s="9">
        <v>0.96</v>
      </c>
      <c r="P516" s="10" t="s">
        <v>144</v>
      </c>
    </row>
    <row r="517" spans="1:16" x14ac:dyDescent="0.3">
      <c r="A517" s="9"/>
      <c r="B517" s="37">
        <v>6.2824852557053417</v>
      </c>
      <c r="C517" s="9" t="s">
        <v>140</v>
      </c>
      <c r="D517" s="37">
        <f t="shared" si="0"/>
        <v>1916396.0000000051</v>
      </c>
      <c r="E517" s="9">
        <v>1.03</v>
      </c>
      <c r="F517" s="9">
        <v>211.268</v>
      </c>
      <c r="G517" s="9">
        <v>1</v>
      </c>
      <c r="H517" s="9">
        <v>0</v>
      </c>
      <c r="I517" s="9">
        <v>-3.6</v>
      </c>
      <c r="J517" s="9">
        <v>2</v>
      </c>
      <c r="K517" s="38">
        <v>1.7215</v>
      </c>
      <c r="L517" s="38">
        <v>3.220108088040055</v>
      </c>
      <c r="M517" s="9">
        <v>1283</v>
      </c>
      <c r="N517" s="9">
        <v>9.41</v>
      </c>
      <c r="O517" s="9">
        <v>0.96</v>
      </c>
      <c r="P517" s="10" t="s">
        <v>144</v>
      </c>
    </row>
    <row r="518" spans="1:16" x14ac:dyDescent="0.3">
      <c r="A518" s="9"/>
      <c r="B518" s="37">
        <v>6.02</v>
      </c>
      <c r="C518" s="9" t="s">
        <v>141</v>
      </c>
      <c r="D518" s="37">
        <f t="shared" si="0"/>
        <v>1047128.5480509007</v>
      </c>
      <c r="E518" s="9">
        <v>-1.27</v>
      </c>
      <c r="F518" s="9">
        <v>171.24</v>
      </c>
      <c r="G518" s="9">
        <v>1</v>
      </c>
      <c r="H518" s="9">
        <v>1</v>
      </c>
      <c r="I518" s="9">
        <v>-1.1200000000000001</v>
      </c>
      <c r="J518" s="9">
        <v>0</v>
      </c>
      <c r="K518" s="38">
        <v>1.4422999999999999</v>
      </c>
      <c r="L518" s="9">
        <v>1.73</v>
      </c>
      <c r="M518" s="9">
        <v>1283</v>
      </c>
      <c r="N518" s="9">
        <v>9.41</v>
      </c>
      <c r="O518" s="9">
        <v>0.96</v>
      </c>
      <c r="P518" s="10" t="s">
        <v>144</v>
      </c>
    </row>
    <row r="519" spans="1:16" x14ac:dyDescent="0.3">
      <c r="A519" s="9"/>
      <c r="B519" s="37">
        <v>6.5</v>
      </c>
      <c r="C519" s="9" t="s">
        <v>132</v>
      </c>
      <c r="D519" s="37">
        <f t="shared" si="0"/>
        <v>3162277.6601683851</v>
      </c>
      <c r="E519" s="9">
        <v>0.14000000000000001</v>
      </c>
      <c r="F519" s="9">
        <v>253.28</v>
      </c>
      <c r="G519" s="9">
        <v>0</v>
      </c>
      <c r="H519" s="9">
        <v>1</v>
      </c>
      <c r="I519" s="9">
        <v>-1.03</v>
      </c>
      <c r="J519" s="9">
        <v>1</v>
      </c>
      <c r="K519" s="9">
        <v>1.72</v>
      </c>
      <c r="L519" s="38">
        <v>2.4149733479708178</v>
      </c>
      <c r="M519" s="9">
        <v>1283</v>
      </c>
      <c r="N519" s="9">
        <v>9.41</v>
      </c>
      <c r="O519" s="9">
        <v>0.96</v>
      </c>
      <c r="P519" s="10" t="s">
        <v>144</v>
      </c>
    </row>
    <row r="520" spans="1:16" x14ac:dyDescent="0.3">
      <c r="A520" s="9"/>
      <c r="B520" s="37">
        <v>7.2</v>
      </c>
      <c r="C520" s="9" t="s">
        <v>142</v>
      </c>
      <c r="D520" s="37">
        <f t="shared" si="0"/>
        <v>15848931.924611172</v>
      </c>
      <c r="E520" s="9">
        <v>1.8</v>
      </c>
      <c r="F520" s="9">
        <v>191.19</v>
      </c>
      <c r="G520" s="9">
        <v>1</v>
      </c>
      <c r="H520" s="9">
        <v>0</v>
      </c>
      <c r="I520" s="9">
        <v>-2.65</v>
      </c>
      <c r="J520" s="9">
        <v>1</v>
      </c>
      <c r="K520" s="38">
        <v>1.3613</v>
      </c>
      <c r="L520" s="38">
        <v>2.6020599913279625</v>
      </c>
      <c r="M520" s="9">
        <v>1283</v>
      </c>
      <c r="N520" s="9">
        <v>9.41</v>
      </c>
      <c r="O520" s="9">
        <v>0.96</v>
      </c>
      <c r="P520" s="10" t="s">
        <v>144</v>
      </c>
    </row>
    <row r="521" spans="1:16" x14ac:dyDescent="0.3">
      <c r="A521" s="9"/>
      <c r="B521" s="37">
        <v>6.6</v>
      </c>
      <c r="C521" s="9" t="s">
        <v>143</v>
      </c>
      <c r="D521" s="37">
        <f t="shared" si="0"/>
        <v>3981071.705534976</v>
      </c>
      <c r="E521" s="9">
        <v>2.77</v>
      </c>
      <c r="F521" s="9">
        <v>236.3</v>
      </c>
      <c r="G521" s="9">
        <v>0</v>
      </c>
      <c r="H521" s="9">
        <v>0</v>
      </c>
      <c r="I521" s="9">
        <v>-3.79</v>
      </c>
      <c r="J521" s="9">
        <v>2</v>
      </c>
      <c r="K521" s="9">
        <v>1.87</v>
      </c>
      <c r="L521" s="9">
        <v>3.12</v>
      </c>
      <c r="M521" s="9">
        <v>1283</v>
      </c>
      <c r="N521" s="9">
        <v>9.41</v>
      </c>
      <c r="O521" s="9">
        <v>0.96</v>
      </c>
      <c r="P521" s="10" t="s">
        <v>144</v>
      </c>
    </row>
    <row r="522" spans="1:16" x14ac:dyDescent="0.3">
      <c r="A522" s="9"/>
      <c r="B522" s="37">
        <v>4.66</v>
      </c>
      <c r="C522" s="9" t="s">
        <v>1</v>
      </c>
      <c r="D522" s="37">
        <f t="shared" si="0"/>
        <v>45708.818961487581</v>
      </c>
      <c r="E522" s="9">
        <v>-1.22</v>
      </c>
      <c r="F522" s="9">
        <v>214.03899999999999</v>
      </c>
      <c r="G522" s="9">
        <v>0</v>
      </c>
      <c r="H522" s="9">
        <v>1</v>
      </c>
      <c r="I522" s="9">
        <v>-2.82</v>
      </c>
      <c r="J522" s="9">
        <v>0</v>
      </c>
      <c r="K522" s="39">
        <v>0.87050000000000005</v>
      </c>
      <c r="L522" s="9">
        <v>1.81</v>
      </c>
      <c r="M522" s="9">
        <v>840</v>
      </c>
      <c r="N522" s="9">
        <v>9.6999999999999993</v>
      </c>
      <c r="O522" s="9">
        <v>0.9</v>
      </c>
      <c r="P522" s="10" t="s">
        <v>144</v>
      </c>
    </row>
    <row r="523" spans="1:16" x14ac:dyDescent="0.3">
      <c r="A523" s="9"/>
      <c r="B523" s="37">
        <v>4.21</v>
      </c>
      <c r="C523" s="9" t="s">
        <v>1</v>
      </c>
      <c r="D523" s="37">
        <f t="shared" si="0"/>
        <v>16218.100973589309</v>
      </c>
      <c r="E523" s="9">
        <v>-1.22</v>
      </c>
      <c r="F523" s="9">
        <v>214.03899999999999</v>
      </c>
      <c r="G523" s="9">
        <v>0</v>
      </c>
      <c r="H523" s="9">
        <v>1</v>
      </c>
      <c r="I523" s="9">
        <v>-2.82</v>
      </c>
      <c r="J523" s="9">
        <v>0</v>
      </c>
      <c r="K523" s="39">
        <v>0.87050000000000005</v>
      </c>
      <c r="L523" s="9">
        <v>1.81</v>
      </c>
      <c r="M523" s="9">
        <v>980</v>
      </c>
      <c r="N523" s="9">
        <v>9.1</v>
      </c>
      <c r="O523" s="9">
        <v>2.2000000000000002</v>
      </c>
      <c r="P523" s="10" t="s">
        <v>144</v>
      </c>
    </row>
    <row r="524" spans="1:16" x14ac:dyDescent="0.3">
      <c r="A524" s="9"/>
      <c r="B524" s="37">
        <v>3.96</v>
      </c>
      <c r="C524" s="9" t="s">
        <v>1</v>
      </c>
      <c r="D524" s="37">
        <f t="shared" si="0"/>
        <v>9120.1083935591087</v>
      </c>
      <c r="E524" s="9">
        <v>-1.22</v>
      </c>
      <c r="F524" s="9">
        <v>214.03899999999999</v>
      </c>
      <c r="G524" s="9">
        <v>0</v>
      </c>
      <c r="H524" s="9">
        <v>1</v>
      </c>
      <c r="I524" s="9">
        <v>-2.82</v>
      </c>
      <c r="J524" s="9">
        <v>0</v>
      </c>
      <c r="K524" s="39">
        <v>0.87050000000000005</v>
      </c>
      <c r="L524" s="9">
        <v>1.81</v>
      </c>
      <c r="M524" s="9">
        <v>940</v>
      </c>
      <c r="N524" s="9">
        <v>8.3000000000000007</v>
      </c>
      <c r="O524" s="9">
        <v>2.9</v>
      </c>
      <c r="P524" s="10" t="s">
        <v>144</v>
      </c>
    </row>
    <row r="525" spans="1:16" x14ac:dyDescent="0.3">
      <c r="A525" s="9"/>
      <c r="B525" s="37">
        <v>5.5051499783199063</v>
      </c>
      <c r="C525" s="9" t="s">
        <v>120</v>
      </c>
      <c r="D525" s="37">
        <f t="shared" si="0"/>
        <v>320000.00000000041</v>
      </c>
      <c r="E525" s="9">
        <v>1.7</v>
      </c>
      <c r="F525" s="9">
        <v>206.28</v>
      </c>
      <c r="G525" s="9">
        <v>0</v>
      </c>
      <c r="H525" s="9">
        <v>1</v>
      </c>
      <c r="I525" s="9">
        <v>-1.38</v>
      </c>
      <c r="J525" s="9">
        <v>1</v>
      </c>
      <c r="K525" s="40">
        <v>2</v>
      </c>
      <c r="L525" s="9">
        <v>2.63</v>
      </c>
      <c r="M525" s="9">
        <v>69</v>
      </c>
      <c r="N525" s="9">
        <v>5.7</v>
      </c>
      <c r="O525" s="9">
        <v>35</v>
      </c>
      <c r="P525" s="10">
        <v>28</v>
      </c>
    </row>
    <row r="526" spans="1:16" x14ac:dyDescent="0.3">
      <c r="A526" s="9"/>
      <c r="B526" s="37">
        <v>5.3010299956639813</v>
      </c>
      <c r="C526" s="9" t="s">
        <v>120</v>
      </c>
      <c r="D526" s="37">
        <f t="shared" si="0"/>
        <v>200000.00000000041</v>
      </c>
      <c r="E526" s="9">
        <v>1.7</v>
      </c>
      <c r="F526" s="9">
        <v>206.28</v>
      </c>
      <c r="G526" s="9">
        <v>0</v>
      </c>
      <c r="H526" s="9">
        <v>1</v>
      </c>
      <c r="I526" s="9">
        <v>-1.38</v>
      </c>
      <c r="J526" s="9">
        <v>1</v>
      </c>
      <c r="K526" s="40">
        <v>2</v>
      </c>
      <c r="L526" s="9">
        <v>2.63</v>
      </c>
      <c r="M526" s="9">
        <v>57</v>
      </c>
      <c r="N526" s="9">
        <v>6.2</v>
      </c>
      <c r="O526" s="9">
        <v>30</v>
      </c>
      <c r="P526" s="10">
        <v>28</v>
      </c>
    </row>
    <row r="527" spans="1:16" x14ac:dyDescent="0.3">
      <c r="A527" s="9"/>
      <c r="B527" s="37">
        <v>5.6020599913279634</v>
      </c>
      <c r="C527" s="9" t="s">
        <v>120</v>
      </c>
      <c r="D527" s="37">
        <f t="shared" si="0"/>
        <v>400000.00000000157</v>
      </c>
      <c r="E527" s="9">
        <v>1.7</v>
      </c>
      <c r="F527" s="9">
        <v>206.28</v>
      </c>
      <c r="G527" s="9">
        <v>0</v>
      </c>
      <c r="H527" s="9">
        <v>1</v>
      </c>
      <c r="I527" s="9">
        <v>-1.38</v>
      </c>
      <c r="J527" s="9">
        <v>1</v>
      </c>
      <c r="K527" s="40">
        <v>2</v>
      </c>
      <c r="L527" s="9">
        <v>2.63</v>
      </c>
      <c r="M527" s="9">
        <v>16</v>
      </c>
      <c r="N527" s="9">
        <v>5</v>
      </c>
      <c r="O527" s="9">
        <v>21</v>
      </c>
      <c r="P527" s="10">
        <v>28</v>
      </c>
    </row>
    <row r="528" spans="1:16" x14ac:dyDescent="0.3">
      <c r="A528" s="9"/>
      <c r="B528" s="37">
        <v>5.5563025007672868</v>
      </c>
      <c r="C528" s="9" t="s">
        <v>73</v>
      </c>
      <c r="D528" s="37">
        <f t="shared" si="0"/>
        <v>359999.99999999994</v>
      </c>
      <c r="E528" s="9">
        <v>0.28999999999999998</v>
      </c>
      <c r="F528" s="9">
        <v>230.26</v>
      </c>
      <c r="G528" s="9">
        <v>0</v>
      </c>
      <c r="H528" s="9">
        <v>1</v>
      </c>
      <c r="I528" s="9">
        <v>-0.69</v>
      </c>
      <c r="J528" s="9">
        <v>2</v>
      </c>
      <c r="K528" s="9">
        <v>1.92</v>
      </c>
      <c r="L528" s="9">
        <v>2.5299999999999998</v>
      </c>
      <c r="M528" s="9">
        <v>69</v>
      </c>
      <c r="N528" s="9">
        <v>5.7</v>
      </c>
      <c r="O528" s="9">
        <v>35</v>
      </c>
      <c r="P528" s="10">
        <v>28</v>
      </c>
    </row>
    <row r="529" spans="1:16" x14ac:dyDescent="0.3">
      <c r="A529" s="9"/>
      <c r="B529" s="37">
        <v>5.1760912590556813</v>
      </c>
      <c r="C529" s="9" t="s">
        <v>73</v>
      </c>
      <c r="D529" s="37">
        <f t="shared" si="0"/>
        <v>150000.0000000002</v>
      </c>
      <c r="E529" s="9">
        <v>0.28999999999999998</v>
      </c>
      <c r="F529" s="9">
        <v>230.26</v>
      </c>
      <c r="G529" s="9">
        <v>0</v>
      </c>
      <c r="H529" s="9">
        <v>1</v>
      </c>
      <c r="I529" s="9">
        <v>-0.69</v>
      </c>
      <c r="J529" s="9">
        <v>2</v>
      </c>
      <c r="K529" s="9">
        <v>1.92</v>
      </c>
      <c r="L529" s="9">
        <v>2.5299999999999998</v>
      </c>
      <c r="M529" s="9">
        <v>57</v>
      </c>
      <c r="N529" s="9">
        <v>6.2</v>
      </c>
      <c r="O529" s="9">
        <v>30</v>
      </c>
      <c r="P529" s="10">
        <v>28</v>
      </c>
    </row>
    <row r="530" spans="1:16" x14ac:dyDescent="0.3">
      <c r="A530" s="9"/>
      <c r="B530" s="37">
        <v>5.0413926851582254</v>
      </c>
      <c r="C530" s="9" t="s">
        <v>73</v>
      </c>
      <c r="D530" s="37">
        <f t="shared" si="0"/>
        <v>110000.00000000012</v>
      </c>
      <c r="E530" s="9">
        <v>0.28999999999999998</v>
      </c>
      <c r="F530" s="9">
        <v>230.26</v>
      </c>
      <c r="G530" s="9">
        <v>0</v>
      </c>
      <c r="H530" s="9">
        <v>1</v>
      </c>
      <c r="I530" s="9">
        <v>-0.69</v>
      </c>
      <c r="J530" s="9">
        <v>2</v>
      </c>
      <c r="K530" s="9">
        <v>1.92</v>
      </c>
      <c r="L530" s="9">
        <v>2.5299999999999998</v>
      </c>
      <c r="M530" s="9">
        <v>16</v>
      </c>
      <c r="N530" s="9">
        <v>5</v>
      </c>
      <c r="O530" s="9">
        <v>21</v>
      </c>
      <c r="P530" s="10">
        <v>28</v>
      </c>
    </row>
    <row r="531" spans="1:16" x14ac:dyDescent="0.3">
      <c r="A531" s="9"/>
      <c r="B531" s="37">
        <v>5.0413926851582254</v>
      </c>
      <c r="C531" s="9" t="s">
        <v>121</v>
      </c>
      <c r="D531" s="37">
        <f t="shared" si="0"/>
        <v>110000.00000000012</v>
      </c>
      <c r="E531" s="9">
        <v>1.66</v>
      </c>
      <c r="F531" s="9">
        <v>152.13999999999999</v>
      </c>
      <c r="G531" s="9">
        <v>0</v>
      </c>
      <c r="H531" s="9">
        <v>0</v>
      </c>
      <c r="I531" s="9">
        <v>-1.27</v>
      </c>
      <c r="J531" s="9">
        <v>1</v>
      </c>
      <c r="K531" s="9">
        <v>1.26</v>
      </c>
      <c r="L531" s="9">
        <v>1.94</v>
      </c>
      <c r="M531" s="9">
        <v>69</v>
      </c>
      <c r="N531" s="9">
        <v>5.7</v>
      </c>
      <c r="O531" s="9">
        <v>35</v>
      </c>
      <c r="P531" s="10">
        <v>28</v>
      </c>
    </row>
    <row r="532" spans="1:16" x14ac:dyDescent="0.3">
      <c r="A532" s="9"/>
      <c r="B532" s="37">
        <v>4.9542425094393252</v>
      </c>
      <c r="C532" s="9" t="s">
        <v>121</v>
      </c>
      <c r="D532" s="37">
        <f t="shared" si="0"/>
        <v>90000.000000000131</v>
      </c>
      <c r="E532" s="9">
        <v>1.66</v>
      </c>
      <c r="F532" s="9">
        <v>152.13999999999999</v>
      </c>
      <c r="G532" s="9">
        <v>0</v>
      </c>
      <c r="H532" s="9">
        <v>0</v>
      </c>
      <c r="I532" s="9">
        <v>-1.27</v>
      </c>
      <c r="J532" s="9">
        <v>1</v>
      </c>
      <c r="K532" s="9">
        <v>1.26</v>
      </c>
      <c r="L532" s="9">
        <v>1.94</v>
      </c>
      <c r="M532" s="9">
        <v>57</v>
      </c>
      <c r="N532" s="9">
        <v>6.2</v>
      </c>
      <c r="O532" s="9">
        <v>30</v>
      </c>
      <c r="P532" s="10">
        <v>28</v>
      </c>
    </row>
    <row r="533" spans="1:16" x14ac:dyDescent="0.3">
      <c r="A533" s="9"/>
      <c r="B533" s="37">
        <v>4.8573324964312681</v>
      </c>
      <c r="C533" s="9" t="s">
        <v>121</v>
      </c>
      <c r="D533" s="37">
        <f t="shared" si="0"/>
        <v>72000.000000000044</v>
      </c>
      <c r="E533" s="9">
        <v>1.66</v>
      </c>
      <c r="F533" s="9">
        <v>152.13999999999999</v>
      </c>
      <c r="G533" s="9">
        <v>0</v>
      </c>
      <c r="H533" s="9">
        <v>0</v>
      </c>
      <c r="I533" s="9">
        <v>-1.27</v>
      </c>
      <c r="J533" s="9">
        <v>1</v>
      </c>
      <c r="K533" s="9">
        <v>1.26</v>
      </c>
      <c r="L533" s="9">
        <v>1.94</v>
      </c>
      <c r="M533" s="9">
        <v>16</v>
      </c>
      <c r="N533" s="9">
        <v>5</v>
      </c>
      <c r="O533" s="9">
        <v>21</v>
      </c>
      <c r="P533" s="10">
        <v>28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b2fd845-fe18-4158-b167-9e7d573efa4a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43C5F68DD74F4F85CE375AC52B32D2" ma:contentTypeVersion="12" ma:contentTypeDescription="Ein neues Dokument erstellen." ma:contentTypeScope="" ma:versionID="72bb60b5221dfdded2853748b78e1ef7">
  <xsd:schema xmlns:xsd="http://www.w3.org/2001/XMLSchema" xmlns:xs="http://www.w3.org/2001/XMLSchema" xmlns:p="http://schemas.microsoft.com/office/2006/metadata/properties" xmlns:ns3="db2fd845-fe18-4158-b167-9e7d573efa4a" xmlns:ns4="10641806-eea2-42b9-b77c-207e89808980" targetNamespace="http://schemas.microsoft.com/office/2006/metadata/properties" ma:root="true" ma:fieldsID="3e4dd938e134dd100b25e3653b12015f" ns3:_="" ns4:_="">
    <xsd:import namespace="db2fd845-fe18-4158-b167-9e7d573efa4a"/>
    <xsd:import namespace="10641806-eea2-42b9-b77c-207e89808980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fd845-fe18-4158-b167-9e7d573efa4a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641806-eea2-42b9-b77c-207e89808980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D667F9-3869-4518-B8A7-7A660526D7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CC044B-A433-4E98-B901-9E2F887DEEBD}">
  <ds:schemaRefs>
    <ds:schemaRef ds:uri="http://purl.org/dc/terms/"/>
    <ds:schemaRef ds:uri="http://schemas.microsoft.com/office/infopath/2007/PartnerControls"/>
    <ds:schemaRef ds:uri="http://purl.org/dc/dcmitype/"/>
    <ds:schemaRef ds:uri="http://schemas.microsoft.com/office/2006/documentManagement/types"/>
    <ds:schemaRef ds:uri="db2fd845-fe18-4158-b167-9e7d573efa4a"/>
    <ds:schemaRef ds:uri="10641806-eea2-42b9-b77c-207e89808980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CB5C183-2FD2-4F4C-B29E-F79E8A65105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4634AF0-8534-418D-98FF-E77D60158D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fd845-fe18-4158-b167-9e7d573efa4a"/>
    <ds:schemaRef ds:uri="10641806-eea2-42b9-b77c-207e898089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Table 1ES_Molecular Properties</vt:lpstr>
      <vt:lpstr>Table 2ES_Kd training and test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Lotteraner</dc:creator>
  <cp:lastModifiedBy>Navid Saeidi</cp:lastModifiedBy>
  <dcterms:created xsi:type="dcterms:W3CDTF">2023-01-19T16:07:01Z</dcterms:created>
  <dcterms:modified xsi:type="dcterms:W3CDTF">2026-03-09T13:10:50Z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0x0101006043C5F68DD74F4F85CE375AC52B32D2</vt:lpwstr>
  </property>
</Properties>
</file>